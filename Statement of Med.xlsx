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ANTOSH\TREASURY DOC\medical bill\ANSWARWADKAR LATEST\"/>
    </mc:Choice>
  </mc:AlternateContent>
  <bookViews>
    <workbookView xWindow="0" yWindow="0" windowWidth="28800" windowHeight="12315"/>
  </bookViews>
  <sheets>
    <sheet name="FORM D" sheetId="1" r:id="rId1"/>
    <sheet name="Sheet2" sheetId="2" r:id="rId2"/>
    <sheet name="MEDICINE" sheetId="3" r:id="rId3"/>
  </sheets>
  <definedNames>
    <definedName name="_xlnm.Print_Area" localSheetId="0">'FORM D'!$A$1:$J$33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1" i="3" l="1"/>
  <c r="H104" i="3"/>
  <c r="H105" i="3" s="1"/>
  <c r="H97" i="3"/>
  <c r="H98" i="3" s="1"/>
  <c r="J24" i="1" l="1"/>
  <c r="I23" i="2" l="1"/>
  <c r="I22" i="2"/>
  <c r="I25" i="2"/>
  <c r="I17" i="2"/>
  <c r="I16" i="2"/>
  <c r="I15" i="2"/>
  <c r="I13" i="2"/>
  <c r="H87" i="3"/>
  <c r="H88" i="3" s="1"/>
  <c r="H76" i="3"/>
  <c r="H77" i="3" s="1"/>
  <c r="H65" i="3"/>
  <c r="H66" i="3" s="1"/>
  <c r="H54" i="3"/>
  <c r="H55" i="3" s="1"/>
  <c r="H43" i="3"/>
  <c r="H44" i="3" s="1"/>
  <c r="H32" i="3"/>
  <c r="H33" i="3" s="1"/>
  <c r="H21" i="3"/>
  <c r="H22" i="3" s="1"/>
  <c r="H10" i="3"/>
  <c r="H11" i="3" s="1"/>
  <c r="H113" i="3" l="1"/>
  <c r="H114" i="3" s="1"/>
  <c r="I26" i="2"/>
  <c r="J26" i="1" l="1"/>
</calcChain>
</file>

<file path=xl/sharedStrings.xml><?xml version="1.0" encoding="utf-8"?>
<sst xmlns="http://schemas.openxmlformats.org/spreadsheetml/2006/main" count="219" uniqueCount="146">
  <si>
    <t>Name of patient</t>
  </si>
  <si>
    <t>Date of admission</t>
  </si>
  <si>
    <t>Date of discharge</t>
  </si>
  <si>
    <t>Bed category</t>
  </si>
  <si>
    <t>Charges</t>
  </si>
  <si>
    <t>(Certificate of expenditure in cured in details for the government servant treated for emergency in private hospital) 
(To be filled in by treating doctor and to attach with annexure 'c')</t>
  </si>
  <si>
    <t>Certificate form 'd'</t>
  </si>
  <si>
    <t>Hospital registration no.</t>
  </si>
  <si>
    <t>:</t>
  </si>
  <si>
    <t>A)</t>
  </si>
  <si>
    <t>total</t>
  </si>
  <si>
    <t>discount</t>
  </si>
  <si>
    <t>net paybale</t>
  </si>
  <si>
    <t xml:space="preserve"> Admission charges / registration fees</t>
  </si>
  <si>
    <t>total of (a)</t>
  </si>
  <si>
    <t>place:</t>
  </si>
  <si>
    <t>date:</t>
  </si>
  <si>
    <t>signature of medical officer</t>
  </si>
  <si>
    <t>hospital stamp</t>
  </si>
  <si>
    <t>MONITOR CHARGES</t>
  </si>
  <si>
    <t>GASTRIC LAVAGE</t>
  </si>
  <si>
    <t>MEDICINE</t>
  </si>
  <si>
    <t>B)</t>
  </si>
  <si>
    <t>NAME OF DRUG</t>
  </si>
  <si>
    <t>DATE</t>
  </si>
  <si>
    <t>QTY.</t>
  </si>
  <si>
    <t>AMOUNT</t>
  </si>
  <si>
    <t>GROSS AMOUNT</t>
  </si>
  <si>
    <t>i.e.   NET AMOUNT</t>
  </si>
  <si>
    <t>TOTAL NET AMOUNT OF (B)</t>
  </si>
  <si>
    <t>TOTAL OF (A)</t>
  </si>
  <si>
    <t>TOTAL OF (A+B)</t>
  </si>
  <si>
    <t>i.e</t>
  </si>
  <si>
    <t>Place:</t>
  </si>
  <si>
    <t>Signature of Medical Officer</t>
  </si>
  <si>
    <t>Date:</t>
  </si>
  <si>
    <t>Hospital Stamp</t>
  </si>
  <si>
    <t xml:space="preserve">वैद्यकीय खर्चाची परिगणना </t>
  </si>
  <si>
    <t xml:space="preserve">शासन निर्णय, सार्वजनिक आरोग्य विभाग क्रमांक एमएजी 2005/9/ प्र.क्र. आरोग्य- 3 दि. 19/03/2005 नुसार 
</t>
  </si>
  <si>
    <t xml:space="preserve">कर्मचाऱ्याचे नाव  
</t>
  </si>
  <si>
    <t xml:space="preserve">रुग्णाचे नाव व नाते </t>
  </si>
  <si>
    <t xml:space="preserve">रुग्णालयातील वास्तव्याचा काळ </t>
  </si>
  <si>
    <t xml:space="preserve">रुग्णालयाचे नाव </t>
  </si>
  <si>
    <t xml:space="preserve">आजाराची नाव व क्रमांक </t>
  </si>
  <si>
    <t>अ.क्र.</t>
  </si>
  <si>
    <t>प्रत्यक्ष खर्चाचा तपशील</t>
  </si>
  <si>
    <t xml:space="preserve"> रक्कम </t>
  </si>
  <si>
    <t xml:space="preserve">रुग्णालयीन खर्च </t>
  </si>
  <si>
    <t xml:space="preserve">वास्तव्याचा खर्च </t>
  </si>
  <si>
    <t xml:space="preserve">औषधी खर्च </t>
  </si>
  <si>
    <t>पॅथॉलॉजी खर्च (बाहेरून केलेल्या तपासण्या)</t>
  </si>
  <si>
    <t xml:space="preserve">एकूण खर्च </t>
  </si>
  <si>
    <t xml:space="preserve">अनुज्ञे  खर्चाचे तपशील </t>
  </si>
  <si>
    <t xml:space="preserve">रुग्णालयीन खर्चाचे  प्रतिपूर्तीचे प्रमाण 90% </t>
  </si>
  <si>
    <t xml:space="preserve">औषधांसाठी अनुज्ञे खर्चाचे प्रमाण प्रत्यक्ष खर्च पैकी प्रतिपूर्ती चे प्रमाण 90% </t>
  </si>
  <si>
    <t>पॅथॉलॉजी खर्च बाहेरून केलेल्या तपासण्या 90%</t>
  </si>
  <si>
    <t xml:space="preserve">रुग्णालयातील वास्तव्यासाठी अनुज्ञ खर्चाचे प्रमाण </t>
  </si>
  <si>
    <t xml:space="preserve">वास्तव्याचा प्रकार </t>
  </si>
  <si>
    <t>दिनांक ते दिनांक</t>
  </si>
  <si>
    <t xml:space="preserve">प्रत्यक्ष खर्च </t>
  </si>
  <si>
    <t>अनुज्ञे रक्कम</t>
  </si>
  <si>
    <t>जनरल वार्ड (सर्व सामान्य कक्ष) 95%</t>
  </si>
  <si>
    <t xml:space="preserve">जनरल वॉर्डच्या (सर्वसामान्य कक्षाच्या) बाजूचा बाथरूम नसलेल्या कक्ष 90% 
</t>
  </si>
  <si>
    <t xml:space="preserve">बाथरूम सह स्वतंत्र कक्ष 75% </t>
  </si>
  <si>
    <t xml:space="preserve">बाथरूम सह डबल बेड कक्ष 75% </t>
  </si>
  <si>
    <t xml:space="preserve">अति दक्षता कक्ष 100% </t>
  </si>
  <si>
    <t xml:space="preserve">वास्तव्यापोटी एकूण देयक रक्कम </t>
  </si>
  <si>
    <t>एकूण देयक रक्कम (6+7+8+9)</t>
  </si>
  <si>
    <t xml:space="preserve">MOHINI SUMIT ANSARWADKAR </t>
  </si>
  <si>
    <t xml:space="preserve"> bed charges  6 days  stay      per day @rs. 1050/-</t>
  </si>
  <si>
    <t>ASSISTANT CHARGES</t>
  </si>
  <si>
    <t>ANEAESTHESIA CHARGES</t>
  </si>
  <si>
    <t>OPERATION THEATRE CHARGES</t>
  </si>
  <si>
    <t>DOCTOR VISIT CHARGES</t>
  </si>
  <si>
    <t>NURSING CHARGES</t>
  </si>
  <si>
    <t>I.V.FLUIDS</t>
  </si>
  <si>
    <t>LAB EXAMINTION</t>
  </si>
  <si>
    <t>SONOGRAPHY CHARGES</t>
  </si>
  <si>
    <t>सुमित गुरुनाथ अनसरवाडकर</t>
  </si>
  <si>
    <t xml:space="preserve">सौ. मोहिनी सुमित अनसरवाडकर (पत्नी) </t>
  </si>
  <si>
    <t xml:space="preserve">०५/१०/२०२५ ते १०/१०/२०२५ </t>
  </si>
  <si>
    <t xml:space="preserve">श्री. प्रभा हॉस्पिटल , लातूर </t>
  </si>
  <si>
    <t>I.V SET</t>
  </si>
  <si>
    <t>IV CANNULA</t>
  </si>
  <si>
    <t>FOLEY CATHETER</t>
  </si>
  <si>
    <t>URINE BAG</t>
  </si>
  <si>
    <t>CENTISORB 140CM</t>
  </si>
  <si>
    <t>DISPOVAN 5CC</t>
  </si>
  <si>
    <t>DISPOVAN 2CC</t>
  </si>
  <si>
    <t>SANITORY NACPKINS</t>
  </si>
  <si>
    <t>I.V. TINIBA</t>
  </si>
  <si>
    <t>I.V RL</t>
  </si>
  <si>
    <t>COTTON BUNDLE</t>
  </si>
  <si>
    <t>CONNULA FIXATER</t>
  </si>
  <si>
    <t>SPINAL NEEDLE</t>
  </si>
  <si>
    <t>FEEDING TUBE</t>
  </si>
  <si>
    <t>SURGICAL GLOVES 6.5</t>
  </si>
  <si>
    <t>SURGICAL GLOVES 7</t>
  </si>
  <si>
    <t>BETADINE SOLUTION</t>
  </si>
  <si>
    <t>ENEMA BP</t>
  </si>
  <si>
    <t>INJ NACPHIN</t>
  </si>
  <si>
    <t>INJ BUPRIGESIC</t>
  </si>
  <si>
    <t>INJ JUSTIN AQ</t>
  </si>
  <si>
    <t>INJ ONDEM</t>
  </si>
  <si>
    <t>INJ NEXODOL-100</t>
  </si>
  <si>
    <t>INJ INJES 1KEEP</t>
  </si>
  <si>
    <t>INJ R.LOC</t>
  </si>
  <si>
    <t>INJ ANAWIN HEAVY</t>
  </si>
  <si>
    <t>INJ PHENERGEN</t>
  </si>
  <si>
    <t>INJ PITOCIN 0.5ML</t>
  </si>
  <si>
    <t>INJ CONESB 1.5GM</t>
  </si>
  <si>
    <t>INJ TROPINE</t>
  </si>
  <si>
    <t>JUSTIN SUPPOSITORIES</t>
  </si>
  <si>
    <t>KLIK CLAMP</t>
  </si>
  <si>
    <t>DISPO 2CC NEEDLE</t>
  </si>
  <si>
    <t>SURGICAL KIT</t>
  </si>
  <si>
    <t>VICRYL RAPID</t>
  </si>
  <si>
    <t>INJ CARBIACT</t>
  </si>
  <si>
    <t>MISOPROST 600</t>
  </si>
  <si>
    <t>MISPROST 200</t>
  </si>
  <si>
    <t>LACTODEX POWDER</t>
  </si>
  <si>
    <t>DEPIN 10</t>
  </si>
  <si>
    <t>CALPOL DROP</t>
  </si>
  <si>
    <t>IV D10</t>
  </si>
  <si>
    <t>IV. ELETROKAP-M</t>
  </si>
  <si>
    <t>IV TINIBA</t>
  </si>
  <si>
    <t>INJ CONE SB1.5</t>
  </si>
  <si>
    <t>INJ NEXDOL-100</t>
  </si>
  <si>
    <t>INJ DICLOKEM AQ</t>
  </si>
  <si>
    <t>IV D-10</t>
  </si>
  <si>
    <t>INJ CNE SB1.5GM</t>
  </si>
  <si>
    <t>INJ NEXDOL 100</t>
  </si>
  <si>
    <t>INJ DICLAKEM</t>
  </si>
  <si>
    <t>ORATIL 500</t>
  </si>
  <si>
    <t>ZYROTRAM-P</t>
  </si>
  <si>
    <t>RACIPAR-D</t>
  </si>
  <si>
    <t>DEPIN RETARD</t>
  </si>
  <si>
    <t>DERMOVALN LOTION</t>
  </si>
  <si>
    <t>FLO RITE NIPPLE SHIELD</t>
  </si>
  <si>
    <t>SUPRACAL 2000</t>
  </si>
  <si>
    <t>AUTRIN</t>
  </si>
  <si>
    <t>AXBEX DROP</t>
  </si>
  <si>
    <t>GENERAL CATEGORY</t>
  </si>
  <si>
    <r>
      <t xml:space="preserve">SURGEON CHARGES/ </t>
    </r>
    <r>
      <rPr>
        <sz val="12"/>
        <color theme="1"/>
        <rFont val="Copperplate Gothic Light"/>
        <family val="2"/>
      </rPr>
      <t>dr charges</t>
    </r>
  </si>
  <si>
    <t>other CHARGES</t>
  </si>
  <si>
    <t>pathology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</si>
</sst>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opperplate Gothic Light"/>
      <family val="2"/>
    </font>
    <font>
      <sz val="12"/>
      <color theme="1"/>
      <name val="Copperplate Gothic Light"/>
      <family val="2"/>
    </font>
    <font>
      <b/>
      <u/>
      <sz val="14"/>
      <color theme="1"/>
      <name val="Copperplate Gothic Bold"/>
      <family val="2"/>
    </font>
    <font>
      <b/>
      <sz val="11"/>
      <color theme="1"/>
      <name val="Copperplate Gothic Light"/>
      <family val="2"/>
    </font>
    <font>
      <b/>
      <sz val="12"/>
      <color theme="1"/>
      <name val="Copperplate Gothic Light"/>
      <family val="2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opperplate Gothic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14" fontId="1" fillId="0" borderId="0" xfId="0" applyNumberFormat="1" applyFont="1"/>
    <xf numFmtId="2" fontId="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4" xfId="0" applyBorder="1"/>
    <xf numFmtId="0" fontId="6" fillId="0" borderId="0" xfId="0" applyFont="1" applyBorder="1" applyAlignment="1">
      <alignment horizontal="right"/>
    </xf>
    <xf numFmtId="2" fontId="0" fillId="0" borderId="0" xfId="0" applyNumberFormat="1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9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2" fontId="10" fillId="0" borderId="9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0" xfId="0" applyFill="1" applyBorder="1" applyAlignment="1">
      <alignment horizontal="center" vertical="top"/>
    </xf>
    <xf numFmtId="2" fontId="0" fillId="0" borderId="12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/>
    <xf numFmtId="0" fontId="1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/>
    </xf>
    <xf numFmtId="0" fontId="0" fillId="0" borderId="9" xfId="0" applyFont="1" applyBorder="1" applyAlignment="1">
      <alignment horizontal="center" vertical="top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/>
    </xf>
    <xf numFmtId="0" fontId="0" fillId="0" borderId="9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8" fillId="0" borderId="8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1"/>
  <sheetViews>
    <sheetView tabSelected="1" zoomScale="85" zoomScaleNormal="85" workbookViewId="0">
      <selection activeCell="B22" sqref="B22:I22"/>
    </sheetView>
  </sheetViews>
  <sheetFormatPr defaultRowHeight="15" x14ac:dyDescent="0.25"/>
  <cols>
    <col min="2" max="2" width="15.7109375" customWidth="1"/>
    <col min="5" max="5" width="3" customWidth="1"/>
    <col min="8" max="8" width="8.42578125" customWidth="1"/>
    <col min="9" max="9" width="15.85546875" customWidth="1"/>
    <col min="10" max="10" width="16" customWidth="1"/>
  </cols>
  <sheetData>
    <row r="1" spans="1:21" ht="25.5" customHeight="1" x14ac:dyDescent="0.25">
      <c r="A1" s="45" t="s">
        <v>6</v>
      </c>
      <c r="B1" s="45"/>
      <c r="C1" s="45"/>
      <c r="D1" s="45"/>
      <c r="E1" s="45"/>
      <c r="F1" s="45"/>
      <c r="G1" s="45"/>
      <c r="H1" s="45"/>
      <c r="I1" s="45"/>
      <c r="J1" s="45"/>
    </row>
    <row r="2" spans="1:21" ht="72" customHeight="1" x14ac:dyDescent="0.25">
      <c r="A2" s="46" t="s">
        <v>5</v>
      </c>
      <c r="B2" s="46"/>
      <c r="C2" s="46"/>
      <c r="D2" s="46"/>
      <c r="E2" s="46"/>
      <c r="F2" s="46"/>
      <c r="G2" s="46"/>
      <c r="H2" s="46"/>
      <c r="I2" s="46"/>
      <c r="J2" s="46"/>
    </row>
    <row r="3" spans="1:21" ht="21.95" customHeight="1" x14ac:dyDescent="0.25">
      <c r="A3" s="42" t="s">
        <v>0</v>
      </c>
      <c r="B3" s="42"/>
      <c r="C3" s="42"/>
      <c r="D3" s="42"/>
      <c r="E3" s="1" t="s">
        <v>8</v>
      </c>
      <c r="F3" s="48" t="s">
        <v>68</v>
      </c>
      <c r="G3" s="48"/>
      <c r="H3" s="48"/>
      <c r="I3" s="48"/>
      <c r="J3" s="48"/>
      <c r="K3" s="1"/>
    </row>
    <row r="4" spans="1:21" ht="21.95" customHeight="1" x14ac:dyDescent="0.25">
      <c r="A4" s="42" t="s">
        <v>1</v>
      </c>
      <c r="B4" s="42"/>
      <c r="C4" s="42"/>
      <c r="D4" s="42"/>
      <c r="E4" s="1" t="s">
        <v>8</v>
      </c>
      <c r="F4" s="49">
        <v>45787</v>
      </c>
      <c r="G4" s="49"/>
      <c r="H4" s="49"/>
      <c r="I4" s="49"/>
      <c r="J4" s="49"/>
      <c r="K4" s="1"/>
    </row>
    <row r="5" spans="1:21" ht="21.95" customHeight="1" x14ac:dyDescent="0.25">
      <c r="A5" s="42" t="s">
        <v>2</v>
      </c>
      <c r="B5" s="42"/>
      <c r="C5" s="42"/>
      <c r="D5" s="42"/>
      <c r="E5" s="1" t="s">
        <v>8</v>
      </c>
      <c r="F5" s="49">
        <v>45940</v>
      </c>
      <c r="G5" s="49"/>
      <c r="H5" s="49"/>
      <c r="I5" s="49"/>
      <c r="J5" s="49"/>
      <c r="K5" s="1"/>
    </row>
    <row r="6" spans="1:21" ht="21.95" customHeight="1" x14ac:dyDescent="0.25">
      <c r="A6" s="42" t="s">
        <v>7</v>
      </c>
      <c r="B6" s="42"/>
      <c r="C6" s="42"/>
      <c r="D6" s="42"/>
      <c r="E6" s="1" t="s">
        <v>8</v>
      </c>
      <c r="F6" s="50"/>
      <c r="G6" s="50"/>
      <c r="H6" s="50"/>
      <c r="I6" s="50"/>
      <c r="J6" s="50"/>
      <c r="K6" s="1"/>
    </row>
    <row r="7" spans="1:21" ht="21.95" customHeight="1" x14ac:dyDescent="0.25">
      <c r="A7" s="42" t="s">
        <v>3</v>
      </c>
      <c r="B7" s="42"/>
      <c r="C7" s="42"/>
      <c r="D7" s="42"/>
      <c r="E7" s="1" t="s">
        <v>8</v>
      </c>
      <c r="F7" s="42" t="s">
        <v>142</v>
      </c>
      <c r="G7" s="42"/>
      <c r="H7" s="42"/>
      <c r="I7" s="42"/>
      <c r="J7" s="42"/>
      <c r="K7" s="1"/>
    </row>
    <row r="8" spans="1:21" ht="21.95" customHeight="1" x14ac:dyDescent="0.25">
      <c r="A8" s="2" t="s">
        <v>9</v>
      </c>
      <c r="B8" s="47" t="s">
        <v>4</v>
      </c>
      <c r="C8" s="47"/>
      <c r="D8" s="47"/>
      <c r="E8" s="47"/>
      <c r="F8" s="47"/>
      <c r="G8" s="47"/>
      <c r="H8" s="47"/>
      <c r="I8" s="47"/>
      <c r="J8" s="3"/>
      <c r="K8" s="1"/>
    </row>
    <row r="9" spans="1:21" ht="21.95" customHeight="1" x14ac:dyDescent="0.25">
      <c r="A9" s="4">
        <v>1</v>
      </c>
      <c r="B9" s="37" t="s">
        <v>13</v>
      </c>
      <c r="C9" s="37"/>
      <c r="D9" s="37"/>
      <c r="E9" s="37"/>
      <c r="F9" s="37"/>
      <c r="G9" s="37"/>
      <c r="H9" s="37"/>
      <c r="I9" s="37"/>
      <c r="J9" s="10">
        <v>0</v>
      </c>
      <c r="K9" s="1"/>
    </row>
    <row r="10" spans="1:21" ht="21.95" customHeight="1" x14ac:dyDescent="0.25">
      <c r="A10" s="4">
        <v>2</v>
      </c>
      <c r="B10" s="37" t="s">
        <v>69</v>
      </c>
      <c r="C10" s="37"/>
      <c r="D10" s="37"/>
      <c r="E10" s="37"/>
      <c r="F10" s="37"/>
      <c r="G10" s="37"/>
      <c r="H10" s="37"/>
      <c r="I10" s="37"/>
      <c r="J10" s="35">
        <v>6300</v>
      </c>
      <c r="K10" s="1"/>
      <c r="M10" s="39"/>
      <c r="N10" s="40"/>
      <c r="O10" s="40"/>
      <c r="P10" s="40"/>
      <c r="Q10" s="40"/>
      <c r="R10" s="40"/>
      <c r="S10" s="40"/>
      <c r="T10" s="41"/>
      <c r="U10" s="5"/>
    </row>
    <row r="11" spans="1:21" ht="21.95" customHeight="1" x14ac:dyDescent="0.25">
      <c r="A11" s="4">
        <v>3</v>
      </c>
      <c r="B11" s="37" t="s">
        <v>143</v>
      </c>
      <c r="C11" s="37"/>
      <c r="D11" s="37"/>
      <c r="E11" s="37"/>
      <c r="F11" s="37"/>
      <c r="G11" s="37"/>
      <c r="H11" s="37"/>
      <c r="I11" s="37"/>
      <c r="J11" s="35">
        <v>22000</v>
      </c>
      <c r="K11" s="1"/>
    </row>
    <row r="12" spans="1:21" ht="21.95" customHeight="1" x14ac:dyDescent="0.25">
      <c r="A12" s="4">
        <v>4</v>
      </c>
      <c r="B12" s="37" t="s">
        <v>70</v>
      </c>
      <c r="C12" s="37"/>
      <c r="D12" s="37"/>
      <c r="E12" s="37"/>
      <c r="F12" s="37"/>
      <c r="G12" s="37"/>
      <c r="H12" s="37"/>
      <c r="I12" s="37"/>
      <c r="J12" s="35">
        <v>4000</v>
      </c>
      <c r="K12" s="1"/>
      <c r="N12" s="1"/>
    </row>
    <row r="13" spans="1:21" ht="21.95" customHeight="1" x14ac:dyDescent="0.25">
      <c r="A13" s="4">
        <v>5</v>
      </c>
      <c r="B13" s="37" t="s">
        <v>71</v>
      </c>
      <c r="C13" s="37"/>
      <c r="D13" s="37"/>
      <c r="E13" s="37"/>
      <c r="F13" s="37"/>
      <c r="G13" s="37"/>
      <c r="H13" s="37"/>
      <c r="I13" s="37"/>
      <c r="J13" s="35">
        <v>5000</v>
      </c>
      <c r="K13" s="1"/>
      <c r="N13" s="1"/>
    </row>
    <row r="14" spans="1:21" ht="21.95" customHeight="1" x14ac:dyDescent="0.25">
      <c r="A14" s="4">
        <v>7</v>
      </c>
      <c r="B14" s="37" t="s">
        <v>72</v>
      </c>
      <c r="C14" s="37"/>
      <c r="D14" s="37"/>
      <c r="E14" s="37"/>
      <c r="F14" s="37"/>
      <c r="G14" s="37"/>
      <c r="H14" s="37"/>
      <c r="I14" s="37"/>
      <c r="J14" s="35">
        <v>5000</v>
      </c>
      <c r="K14" s="1"/>
      <c r="N14" s="1"/>
    </row>
    <row r="15" spans="1:21" ht="21.95" customHeight="1" x14ac:dyDescent="0.25">
      <c r="A15" s="4">
        <v>9</v>
      </c>
      <c r="B15" s="37" t="s">
        <v>19</v>
      </c>
      <c r="C15" s="37"/>
      <c r="D15" s="37"/>
      <c r="E15" s="37"/>
      <c r="F15" s="37"/>
      <c r="G15" s="37"/>
      <c r="H15" s="37"/>
      <c r="I15" s="37"/>
      <c r="J15" s="35">
        <v>1000</v>
      </c>
      <c r="K15" s="1"/>
      <c r="N15" s="1"/>
    </row>
    <row r="16" spans="1:21" ht="21.95" customHeight="1" x14ac:dyDescent="0.25">
      <c r="A16" s="4">
        <v>10</v>
      </c>
      <c r="B16" s="37" t="s">
        <v>73</v>
      </c>
      <c r="C16" s="37"/>
      <c r="D16" s="37"/>
      <c r="E16" s="37"/>
      <c r="F16" s="37"/>
      <c r="G16" s="37"/>
      <c r="H16" s="37"/>
      <c r="I16" s="37"/>
      <c r="J16" s="35">
        <v>2000</v>
      </c>
      <c r="K16" s="1"/>
      <c r="N16" s="1"/>
    </row>
    <row r="17" spans="1:14" ht="21.95" customHeight="1" x14ac:dyDescent="0.25">
      <c r="A17" s="4">
        <v>11</v>
      </c>
      <c r="B17" s="37" t="s">
        <v>74</v>
      </c>
      <c r="C17" s="37"/>
      <c r="D17" s="37"/>
      <c r="E17" s="37"/>
      <c r="F17" s="37"/>
      <c r="G17" s="37"/>
      <c r="H17" s="37"/>
      <c r="I17" s="37"/>
      <c r="J17" s="35">
        <v>2800</v>
      </c>
      <c r="K17" s="1"/>
      <c r="N17" s="1"/>
    </row>
    <row r="18" spans="1:14" ht="21.95" customHeight="1" x14ac:dyDescent="0.25">
      <c r="A18" s="4">
        <v>12</v>
      </c>
      <c r="B18" s="37" t="s">
        <v>75</v>
      </c>
      <c r="C18" s="37"/>
      <c r="D18" s="37"/>
      <c r="E18" s="37"/>
      <c r="F18" s="37"/>
      <c r="G18" s="37"/>
      <c r="H18" s="37"/>
      <c r="I18" s="37"/>
      <c r="J18" s="35">
        <v>1800</v>
      </c>
      <c r="K18" s="1"/>
      <c r="N18" s="1"/>
    </row>
    <row r="19" spans="1:14" ht="21.95" customHeight="1" x14ac:dyDescent="0.25">
      <c r="A19" s="4">
        <v>13</v>
      </c>
      <c r="B19" s="37" t="s">
        <v>76</v>
      </c>
      <c r="C19" s="37"/>
      <c r="D19" s="37"/>
      <c r="E19" s="37"/>
      <c r="F19" s="37"/>
      <c r="G19" s="37"/>
      <c r="H19" s="37"/>
      <c r="I19" s="37"/>
      <c r="J19" s="35">
        <v>0</v>
      </c>
      <c r="K19" s="1"/>
      <c r="N19" s="1"/>
    </row>
    <row r="20" spans="1:14" ht="21.95" customHeight="1" x14ac:dyDescent="0.25">
      <c r="A20" s="4">
        <v>14</v>
      </c>
      <c r="B20" s="37" t="s">
        <v>77</v>
      </c>
      <c r="C20" s="37"/>
      <c r="D20" s="37"/>
      <c r="E20" s="37"/>
      <c r="F20" s="37"/>
      <c r="G20" s="37"/>
      <c r="H20" s="37"/>
      <c r="I20" s="37"/>
      <c r="J20" s="10">
        <v>0</v>
      </c>
      <c r="K20" s="1"/>
      <c r="N20" s="1"/>
    </row>
    <row r="21" spans="1:14" ht="21.95" customHeight="1" x14ac:dyDescent="0.25">
      <c r="A21" s="4">
        <v>15</v>
      </c>
      <c r="B21" s="98" t="s">
        <v>145</v>
      </c>
      <c r="C21" s="37"/>
      <c r="D21" s="37"/>
      <c r="E21" s="37"/>
      <c r="F21" s="37"/>
      <c r="G21" s="37"/>
      <c r="H21" s="37"/>
      <c r="I21" s="37"/>
      <c r="J21" s="10">
        <v>0</v>
      </c>
      <c r="K21" s="1"/>
      <c r="N21" s="1"/>
    </row>
    <row r="22" spans="1:14" ht="21.95" customHeight="1" x14ac:dyDescent="0.25">
      <c r="A22" s="4">
        <v>16</v>
      </c>
      <c r="B22" s="37" t="s">
        <v>20</v>
      </c>
      <c r="C22" s="37"/>
      <c r="D22" s="37"/>
      <c r="E22" s="37"/>
      <c r="F22" s="37"/>
      <c r="G22" s="37"/>
      <c r="H22" s="37"/>
      <c r="I22" s="37"/>
      <c r="J22" s="10">
        <v>0</v>
      </c>
      <c r="K22" s="1"/>
      <c r="N22" s="1"/>
    </row>
    <row r="23" spans="1:14" ht="21.95" customHeight="1" x14ac:dyDescent="0.25">
      <c r="A23" s="4">
        <v>17</v>
      </c>
      <c r="B23" s="95" t="s">
        <v>144</v>
      </c>
      <c r="C23" s="96"/>
      <c r="D23" s="96"/>
      <c r="E23" s="96"/>
      <c r="F23" s="96"/>
      <c r="G23" s="96"/>
      <c r="H23" s="96"/>
      <c r="I23" s="97"/>
      <c r="J23" s="10">
        <v>0</v>
      </c>
      <c r="K23" s="1"/>
      <c r="N23" s="1"/>
    </row>
    <row r="24" spans="1:14" ht="21.95" customHeight="1" x14ac:dyDescent="0.25">
      <c r="A24" s="6"/>
      <c r="B24" s="44"/>
      <c r="C24" s="44"/>
      <c r="D24" s="44"/>
      <c r="E24" s="44"/>
      <c r="F24" s="44"/>
      <c r="G24" s="44"/>
      <c r="H24" s="44"/>
      <c r="I24" s="7" t="s">
        <v>10</v>
      </c>
      <c r="J24" s="8">
        <f>SUM(J9:J23)</f>
        <v>49900</v>
      </c>
      <c r="K24" s="1"/>
    </row>
    <row r="25" spans="1:14" ht="21.95" customHeight="1" x14ac:dyDescent="0.25">
      <c r="A25" s="6"/>
      <c r="B25" s="44"/>
      <c r="C25" s="44"/>
      <c r="D25" s="44"/>
      <c r="E25" s="44"/>
      <c r="F25" s="44"/>
      <c r="G25" s="44"/>
      <c r="H25" s="44"/>
      <c r="I25" s="7" t="s">
        <v>11</v>
      </c>
      <c r="J25" s="8">
        <v>0</v>
      </c>
      <c r="K25" s="1"/>
    </row>
    <row r="26" spans="1:14" ht="21.95" customHeight="1" x14ac:dyDescent="0.25">
      <c r="A26" s="6"/>
      <c r="B26" s="43" t="s">
        <v>14</v>
      </c>
      <c r="C26" s="43"/>
      <c r="D26" s="43"/>
      <c r="E26" s="43"/>
      <c r="F26" s="43"/>
      <c r="G26" s="43"/>
      <c r="H26" s="43"/>
      <c r="I26" s="7" t="s">
        <v>12</v>
      </c>
      <c r="J26" s="8">
        <f>SUM(J24-J25)</f>
        <v>49900</v>
      </c>
      <c r="K26" s="1"/>
    </row>
    <row r="27" spans="1: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4" x14ac:dyDescent="0.25">
      <c r="A32" s="1" t="s">
        <v>15</v>
      </c>
      <c r="B32" s="1"/>
      <c r="C32" s="1"/>
      <c r="D32" s="1"/>
      <c r="E32" s="1"/>
      <c r="F32" s="1"/>
      <c r="G32" s="1"/>
      <c r="H32" s="38" t="s">
        <v>17</v>
      </c>
      <c r="I32" s="38"/>
      <c r="J32" s="38"/>
      <c r="K32" s="1"/>
    </row>
    <row r="33" spans="1:11" x14ac:dyDescent="0.25">
      <c r="A33" s="1" t="s">
        <v>16</v>
      </c>
      <c r="B33" s="9"/>
      <c r="C33" s="1"/>
      <c r="D33" s="1"/>
      <c r="E33" s="1"/>
      <c r="F33" s="1"/>
      <c r="G33" s="1"/>
      <c r="H33" s="38" t="s">
        <v>18</v>
      </c>
      <c r="I33" s="38"/>
      <c r="J33" s="38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</sheetData>
  <mergeCells count="34">
    <mergeCell ref="A1:J1"/>
    <mergeCell ref="A2:J2"/>
    <mergeCell ref="B8:I8"/>
    <mergeCell ref="F3:J3"/>
    <mergeCell ref="F4:J4"/>
    <mergeCell ref="F5:J5"/>
    <mergeCell ref="F6:J6"/>
    <mergeCell ref="A3:D3"/>
    <mergeCell ref="A4:D4"/>
    <mergeCell ref="A5:D5"/>
    <mergeCell ref="H32:J32"/>
    <mergeCell ref="H33:J33"/>
    <mergeCell ref="M10:T10"/>
    <mergeCell ref="B23:I23"/>
    <mergeCell ref="A6:D6"/>
    <mergeCell ref="A7:D7"/>
    <mergeCell ref="B19:I19"/>
    <mergeCell ref="B11:I11"/>
    <mergeCell ref="B12:I12"/>
    <mergeCell ref="F7:J7"/>
    <mergeCell ref="B26:H26"/>
    <mergeCell ref="B24:H24"/>
    <mergeCell ref="B25:H25"/>
    <mergeCell ref="B20:I20"/>
    <mergeCell ref="B21:I21"/>
    <mergeCell ref="B22:I22"/>
    <mergeCell ref="B18:I18"/>
    <mergeCell ref="B13:I13"/>
    <mergeCell ref="B14:I14"/>
    <mergeCell ref="B9:I9"/>
    <mergeCell ref="B10:I10"/>
    <mergeCell ref="B15:I15"/>
    <mergeCell ref="B16:I16"/>
    <mergeCell ref="B17:I17"/>
  </mergeCells>
  <pageMargins left="0.7" right="0.7" top="0.5" bottom="0.25" header="0.3" footer="0.3"/>
  <pageSetup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"/>
  <sheetViews>
    <sheetView topLeftCell="A7" workbookViewId="0">
      <selection activeCell="K16" sqref="K16"/>
    </sheetView>
  </sheetViews>
  <sheetFormatPr defaultRowHeight="15" x14ac:dyDescent="0.25"/>
  <cols>
    <col min="6" max="6" width="10.7109375" customWidth="1"/>
    <col min="7" max="7" width="11.140625" customWidth="1"/>
    <col min="9" max="9" width="14.7109375" customWidth="1"/>
  </cols>
  <sheetData>
    <row r="1" spans="1:9" ht="18.75" x14ac:dyDescent="0.25">
      <c r="A1" s="51" t="s">
        <v>37</v>
      </c>
      <c r="B1" s="52"/>
      <c r="C1" s="52"/>
      <c r="D1" s="52"/>
      <c r="E1" s="52"/>
      <c r="F1" s="52"/>
      <c r="G1" s="52"/>
      <c r="H1" s="52"/>
      <c r="I1" s="53"/>
    </row>
    <row r="2" spans="1:9" ht="20.25" customHeight="1" x14ac:dyDescent="0.25">
      <c r="A2" s="54" t="s">
        <v>38</v>
      </c>
      <c r="B2" s="55"/>
      <c r="C2" s="55"/>
      <c r="D2" s="55"/>
      <c r="E2" s="55"/>
      <c r="F2" s="55"/>
      <c r="G2" s="55"/>
      <c r="H2" s="55"/>
      <c r="I2" s="56"/>
    </row>
    <row r="3" spans="1:9" ht="25.5" customHeight="1" x14ac:dyDescent="0.25">
      <c r="A3" s="57" t="s">
        <v>39</v>
      </c>
      <c r="B3" s="58"/>
      <c r="C3" s="58"/>
      <c r="D3" s="58"/>
      <c r="E3" s="59" t="s">
        <v>78</v>
      </c>
      <c r="F3" s="59"/>
      <c r="G3" s="59"/>
      <c r="H3" s="59"/>
      <c r="I3" s="60"/>
    </row>
    <row r="4" spans="1:9" ht="25.5" customHeight="1" x14ac:dyDescent="0.25">
      <c r="A4" s="57" t="s">
        <v>40</v>
      </c>
      <c r="B4" s="58"/>
      <c r="C4" s="58"/>
      <c r="D4" s="58"/>
      <c r="E4" s="59" t="s">
        <v>79</v>
      </c>
      <c r="F4" s="59"/>
      <c r="G4" s="59"/>
      <c r="H4" s="59"/>
      <c r="I4" s="60"/>
    </row>
    <row r="5" spans="1:9" ht="25.5" customHeight="1" x14ac:dyDescent="0.25">
      <c r="A5" s="57" t="s">
        <v>41</v>
      </c>
      <c r="B5" s="58"/>
      <c r="C5" s="58"/>
      <c r="D5" s="58"/>
      <c r="E5" s="59" t="s">
        <v>80</v>
      </c>
      <c r="F5" s="59"/>
      <c r="G5" s="59"/>
      <c r="H5" s="59"/>
      <c r="I5" s="60"/>
    </row>
    <row r="6" spans="1:9" ht="25.5" customHeight="1" x14ac:dyDescent="0.25">
      <c r="A6" s="57" t="s">
        <v>42</v>
      </c>
      <c r="B6" s="58"/>
      <c r="C6" s="58"/>
      <c r="D6" s="58"/>
      <c r="E6" s="59" t="s">
        <v>81</v>
      </c>
      <c r="F6" s="59"/>
      <c r="G6" s="59"/>
      <c r="H6" s="59"/>
      <c r="I6" s="60"/>
    </row>
    <row r="7" spans="1:9" ht="25.5" customHeight="1" x14ac:dyDescent="0.25">
      <c r="A7" s="57" t="s">
        <v>43</v>
      </c>
      <c r="B7" s="58"/>
      <c r="C7" s="58"/>
      <c r="D7" s="58"/>
      <c r="E7" s="59"/>
      <c r="F7" s="59"/>
      <c r="G7" s="59"/>
      <c r="H7" s="59"/>
      <c r="I7" s="60"/>
    </row>
    <row r="8" spans="1:9" ht="25.5" customHeight="1" x14ac:dyDescent="0.25">
      <c r="A8" s="20" t="s">
        <v>44</v>
      </c>
      <c r="B8" s="59" t="s">
        <v>45</v>
      </c>
      <c r="C8" s="59"/>
      <c r="D8" s="59"/>
      <c r="E8" s="59"/>
      <c r="F8" s="59"/>
      <c r="G8" s="59"/>
      <c r="H8" s="59"/>
      <c r="I8" s="21" t="s">
        <v>46</v>
      </c>
    </row>
    <row r="9" spans="1:9" ht="25.5" customHeight="1" x14ac:dyDescent="0.25">
      <c r="A9" s="22">
        <v>1</v>
      </c>
      <c r="B9" s="58" t="s">
        <v>47</v>
      </c>
      <c r="C9" s="61"/>
      <c r="D9" s="61"/>
      <c r="E9" s="61"/>
      <c r="F9" s="61"/>
      <c r="G9" s="61"/>
      <c r="H9" s="61"/>
      <c r="I9" s="23">
        <v>43600</v>
      </c>
    </row>
    <row r="10" spans="1:9" ht="25.5" customHeight="1" x14ac:dyDescent="0.25">
      <c r="A10" s="22">
        <v>2</v>
      </c>
      <c r="B10" s="58" t="s">
        <v>48</v>
      </c>
      <c r="C10" s="61"/>
      <c r="D10" s="61"/>
      <c r="E10" s="61"/>
      <c r="F10" s="61"/>
      <c r="G10" s="61"/>
      <c r="H10" s="61"/>
      <c r="I10" s="23">
        <v>6300</v>
      </c>
    </row>
    <row r="11" spans="1:9" ht="25.5" customHeight="1" x14ac:dyDescent="0.25">
      <c r="A11" s="22">
        <v>3</v>
      </c>
      <c r="B11" s="58" t="s">
        <v>49</v>
      </c>
      <c r="C11" s="61"/>
      <c r="D11" s="61"/>
      <c r="E11" s="61"/>
      <c r="F11" s="61"/>
      <c r="G11" s="61"/>
      <c r="H11" s="61"/>
      <c r="I11" s="23">
        <v>14543</v>
      </c>
    </row>
    <row r="12" spans="1:9" ht="25.5" customHeight="1" x14ac:dyDescent="0.25">
      <c r="A12" s="22">
        <v>4</v>
      </c>
      <c r="B12" s="58" t="s">
        <v>50</v>
      </c>
      <c r="C12" s="61"/>
      <c r="D12" s="61"/>
      <c r="E12" s="61"/>
      <c r="F12" s="61"/>
      <c r="G12" s="61"/>
      <c r="H12" s="61"/>
      <c r="I12" s="23">
        <v>0</v>
      </c>
    </row>
    <row r="13" spans="1:9" ht="25.5" customHeight="1" x14ac:dyDescent="0.25">
      <c r="A13" s="22">
        <v>5</v>
      </c>
      <c r="B13" s="58" t="s">
        <v>51</v>
      </c>
      <c r="C13" s="61"/>
      <c r="D13" s="61"/>
      <c r="E13" s="61"/>
      <c r="F13" s="61"/>
      <c r="G13" s="61"/>
      <c r="H13" s="61"/>
      <c r="I13" s="23">
        <f>SUM(I9:I12)</f>
        <v>64443</v>
      </c>
    </row>
    <row r="14" spans="1:9" ht="25.5" customHeight="1" x14ac:dyDescent="0.25">
      <c r="A14" s="20"/>
      <c r="B14" s="63" t="s">
        <v>52</v>
      </c>
      <c r="C14" s="63"/>
      <c r="D14" s="63"/>
      <c r="E14" s="63"/>
      <c r="F14" s="63"/>
      <c r="G14" s="63"/>
      <c r="H14" s="63"/>
      <c r="I14" s="70"/>
    </row>
    <row r="15" spans="1:9" ht="25.5" customHeight="1" x14ac:dyDescent="0.25">
      <c r="A15" s="22">
        <v>6</v>
      </c>
      <c r="B15" s="58" t="s">
        <v>53</v>
      </c>
      <c r="C15" s="61"/>
      <c r="D15" s="61"/>
      <c r="E15" s="61"/>
      <c r="F15" s="61"/>
      <c r="G15" s="61"/>
      <c r="H15" s="61"/>
      <c r="I15" s="23">
        <f>SUM(I9*90%)</f>
        <v>39240</v>
      </c>
    </row>
    <row r="16" spans="1:9" ht="25.5" customHeight="1" x14ac:dyDescent="0.25">
      <c r="A16" s="22">
        <v>7</v>
      </c>
      <c r="B16" s="58" t="s">
        <v>54</v>
      </c>
      <c r="C16" s="61"/>
      <c r="D16" s="61"/>
      <c r="E16" s="61"/>
      <c r="F16" s="61"/>
      <c r="G16" s="61"/>
      <c r="H16" s="61"/>
      <c r="I16" s="23">
        <f>ROUND(SUM(I11*90%),0)</f>
        <v>13089</v>
      </c>
    </row>
    <row r="17" spans="1:9" ht="25.5" customHeight="1" x14ac:dyDescent="0.25">
      <c r="A17" s="22">
        <v>8</v>
      </c>
      <c r="B17" s="61" t="s">
        <v>55</v>
      </c>
      <c r="C17" s="61"/>
      <c r="D17" s="61"/>
      <c r="E17" s="61"/>
      <c r="F17" s="61"/>
      <c r="G17" s="61"/>
      <c r="H17" s="61"/>
      <c r="I17" s="23">
        <f>ROUND(SUM(I12*90%),0)</f>
        <v>0</v>
      </c>
    </row>
    <row r="18" spans="1:9" ht="25.5" customHeight="1" x14ac:dyDescent="0.25">
      <c r="A18" s="62">
        <v>9</v>
      </c>
      <c r="B18" s="63" t="s">
        <v>56</v>
      </c>
      <c r="C18" s="59"/>
      <c r="D18" s="59"/>
      <c r="E18" s="59"/>
      <c r="F18" s="59"/>
      <c r="G18" s="59"/>
      <c r="H18" s="59"/>
      <c r="I18" s="60"/>
    </row>
    <row r="19" spans="1:9" ht="25.5" customHeight="1" x14ac:dyDescent="0.25">
      <c r="A19" s="62"/>
      <c r="B19" s="24" t="s">
        <v>44</v>
      </c>
      <c r="C19" s="59" t="s">
        <v>57</v>
      </c>
      <c r="D19" s="59"/>
      <c r="E19" s="59"/>
      <c r="F19" s="59" t="s">
        <v>58</v>
      </c>
      <c r="G19" s="59"/>
      <c r="H19" s="25" t="s">
        <v>59</v>
      </c>
      <c r="I19" s="21" t="s">
        <v>60</v>
      </c>
    </row>
    <row r="20" spans="1:9" ht="25.5" customHeight="1" x14ac:dyDescent="0.25">
      <c r="A20" s="62"/>
      <c r="B20" s="24">
        <v>1</v>
      </c>
      <c r="C20" s="64" t="s">
        <v>61</v>
      </c>
      <c r="D20" s="65"/>
      <c r="E20" s="65"/>
      <c r="F20" s="31">
        <v>45787</v>
      </c>
      <c r="G20" s="31">
        <v>45940</v>
      </c>
      <c r="H20" s="26">
        <v>6300</v>
      </c>
      <c r="I20" s="27">
        <v>5985</v>
      </c>
    </row>
    <row r="21" spans="1:9" ht="25.5" customHeight="1" x14ac:dyDescent="0.25">
      <c r="A21" s="62"/>
      <c r="B21" s="24">
        <v>2</v>
      </c>
      <c r="C21" s="64" t="s">
        <v>62</v>
      </c>
      <c r="D21" s="65"/>
      <c r="E21" s="65"/>
      <c r="F21" s="26"/>
      <c r="G21" s="26"/>
      <c r="H21" s="28"/>
      <c r="I21" s="27">
        <v>0</v>
      </c>
    </row>
    <row r="22" spans="1:9" ht="25.5" customHeight="1" x14ac:dyDescent="0.25">
      <c r="A22" s="62"/>
      <c r="B22" s="24">
        <v>3</v>
      </c>
      <c r="C22" s="64" t="s">
        <v>63</v>
      </c>
      <c r="D22" s="65"/>
      <c r="E22" s="65"/>
      <c r="F22" s="26"/>
      <c r="G22" s="26"/>
      <c r="H22" s="26"/>
      <c r="I22" s="27">
        <f t="shared" ref="I22:I23" si="0">SUM(H22*90%)</f>
        <v>0</v>
      </c>
    </row>
    <row r="23" spans="1:9" ht="25.5" customHeight="1" x14ac:dyDescent="0.25">
      <c r="A23" s="62"/>
      <c r="B23" s="24">
        <v>4</v>
      </c>
      <c r="C23" s="58" t="s">
        <v>64</v>
      </c>
      <c r="D23" s="61"/>
      <c r="E23" s="61"/>
      <c r="F23" s="26"/>
      <c r="G23" s="26"/>
      <c r="H23" s="26"/>
      <c r="I23" s="27">
        <f t="shared" si="0"/>
        <v>0</v>
      </c>
    </row>
    <row r="24" spans="1:9" ht="25.5" customHeight="1" x14ac:dyDescent="0.25">
      <c r="A24" s="62"/>
      <c r="B24" s="24">
        <v>5</v>
      </c>
      <c r="C24" s="58" t="s">
        <v>65</v>
      </c>
      <c r="D24" s="61"/>
      <c r="E24" s="61"/>
      <c r="F24" s="26"/>
      <c r="G24" s="31"/>
      <c r="H24" s="26"/>
      <c r="I24" s="27">
        <v>0</v>
      </c>
    </row>
    <row r="25" spans="1:9" ht="25.5" customHeight="1" x14ac:dyDescent="0.25">
      <c r="A25" s="62"/>
      <c r="B25" s="66" t="s">
        <v>66</v>
      </c>
      <c r="C25" s="67"/>
      <c r="D25" s="67"/>
      <c r="E25" s="67"/>
      <c r="F25" s="67"/>
      <c r="G25" s="67"/>
      <c r="H25" s="67"/>
      <c r="I25" s="27">
        <f>SUM(I20:I24)</f>
        <v>5985</v>
      </c>
    </row>
    <row r="26" spans="1:9" ht="25.5" customHeight="1" thickBot="1" x14ac:dyDescent="0.3">
      <c r="A26" s="29">
        <v>10</v>
      </c>
      <c r="B26" s="68" t="s">
        <v>67</v>
      </c>
      <c r="C26" s="69"/>
      <c r="D26" s="69"/>
      <c r="E26" s="69"/>
      <c r="F26" s="69"/>
      <c r="G26" s="69"/>
      <c r="H26" s="69"/>
      <c r="I26" s="30">
        <f>SUM(I15+I16+I17+I25)</f>
        <v>58314</v>
      </c>
    </row>
  </sheetData>
  <mergeCells count="33">
    <mergeCell ref="B26:H26"/>
    <mergeCell ref="B14:I14"/>
    <mergeCell ref="B15:H15"/>
    <mergeCell ref="B16:H16"/>
    <mergeCell ref="B17:H17"/>
    <mergeCell ref="A18:A25"/>
    <mergeCell ref="B18:I18"/>
    <mergeCell ref="C19:E19"/>
    <mergeCell ref="F19:G19"/>
    <mergeCell ref="C20:E20"/>
    <mergeCell ref="C21:E21"/>
    <mergeCell ref="C22:E22"/>
    <mergeCell ref="C23:E23"/>
    <mergeCell ref="C24:E24"/>
    <mergeCell ref="B25:H25"/>
    <mergeCell ref="B13:H13"/>
    <mergeCell ref="A5:D5"/>
    <mergeCell ref="E5:I5"/>
    <mergeCell ref="A6:D6"/>
    <mergeCell ref="E6:I6"/>
    <mergeCell ref="A7:D7"/>
    <mergeCell ref="E7:I7"/>
    <mergeCell ref="B8:H8"/>
    <mergeCell ref="B9:H9"/>
    <mergeCell ref="B10:H10"/>
    <mergeCell ref="B11:H11"/>
    <mergeCell ref="B12:H12"/>
    <mergeCell ref="A1:I1"/>
    <mergeCell ref="A2:I2"/>
    <mergeCell ref="A3:D3"/>
    <mergeCell ref="E3:I3"/>
    <mergeCell ref="A4:D4"/>
    <mergeCell ref="E4:I4"/>
  </mergeCells>
  <pageMargins left="0.7" right="0.7" top="0.75" bottom="0.75" header="0.3" footer="0.3"/>
  <pageSetup paperSize="9" scale="5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topLeftCell="A64" zoomScale="85" zoomScaleNormal="85" workbookViewId="0">
      <selection activeCell="H113" sqref="H113:I113"/>
    </sheetView>
  </sheetViews>
  <sheetFormatPr defaultRowHeight="15" x14ac:dyDescent="0.25"/>
  <sheetData>
    <row r="1" spans="1:9" ht="18.75" x14ac:dyDescent="0.25">
      <c r="A1" s="81" t="s">
        <v>21</v>
      </c>
      <c r="B1" s="81"/>
      <c r="C1" s="81"/>
      <c r="D1" s="81"/>
      <c r="E1" s="81"/>
      <c r="F1" s="81"/>
      <c r="G1" s="81"/>
      <c r="H1" s="81"/>
      <c r="I1" s="81"/>
    </row>
    <row r="2" spans="1:9" ht="15.75" x14ac:dyDescent="0.25">
      <c r="A2" s="11" t="s">
        <v>22</v>
      </c>
      <c r="B2" s="74" t="s">
        <v>23</v>
      </c>
      <c r="C2" s="74"/>
      <c r="D2" s="74"/>
      <c r="E2" s="74" t="s">
        <v>24</v>
      </c>
      <c r="F2" s="74"/>
      <c r="G2" s="11" t="s">
        <v>25</v>
      </c>
      <c r="H2" s="74" t="s">
        <v>26</v>
      </c>
      <c r="I2" s="74"/>
    </row>
    <row r="3" spans="1:9" x14ac:dyDescent="0.25">
      <c r="A3" s="12">
        <v>1</v>
      </c>
      <c r="B3" s="71" t="s">
        <v>82</v>
      </c>
      <c r="C3" s="71"/>
      <c r="D3" s="71"/>
      <c r="E3" s="72">
        <v>45787</v>
      </c>
      <c r="F3" s="71"/>
      <c r="G3" s="12">
        <v>1</v>
      </c>
      <c r="H3" s="73">
        <v>180</v>
      </c>
      <c r="I3" s="73"/>
    </row>
    <row r="4" spans="1:9" x14ac:dyDescent="0.25">
      <c r="A4" s="12">
        <v>2</v>
      </c>
      <c r="B4" s="71" t="s">
        <v>83</v>
      </c>
      <c r="C4" s="71"/>
      <c r="D4" s="71"/>
      <c r="E4" s="72">
        <v>45787</v>
      </c>
      <c r="F4" s="71"/>
      <c r="G4" s="13">
        <v>1</v>
      </c>
      <c r="H4" s="73">
        <v>198</v>
      </c>
      <c r="I4" s="73"/>
    </row>
    <row r="5" spans="1:9" x14ac:dyDescent="0.25">
      <c r="A5" s="12">
        <v>3</v>
      </c>
      <c r="B5" s="71" t="s">
        <v>84</v>
      </c>
      <c r="C5" s="71"/>
      <c r="D5" s="71"/>
      <c r="E5" s="72">
        <v>45787</v>
      </c>
      <c r="F5" s="71"/>
      <c r="G5" s="13">
        <v>1</v>
      </c>
      <c r="H5" s="73">
        <v>150</v>
      </c>
      <c r="I5" s="73"/>
    </row>
    <row r="6" spans="1:9" x14ac:dyDescent="0.25">
      <c r="A6" s="12">
        <v>4</v>
      </c>
      <c r="B6" s="71" t="s">
        <v>85</v>
      </c>
      <c r="C6" s="71"/>
      <c r="D6" s="71"/>
      <c r="E6" s="72">
        <v>45787</v>
      </c>
      <c r="F6" s="71"/>
      <c r="G6" s="13">
        <v>1</v>
      </c>
      <c r="H6" s="73">
        <v>540</v>
      </c>
      <c r="I6" s="73"/>
    </row>
    <row r="7" spans="1:9" x14ac:dyDescent="0.25">
      <c r="A7" s="12">
        <v>5</v>
      </c>
      <c r="B7" s="71" t="s">
        <v>86</v>
      </c>
      <c r="C7" s="71"/>
      <c r="D7" s="71"/>
      <c r="E7" s="72">
        <v>45787</v>
      </c>
      <c r="F7" s="71"/>
      <c r="G7" s="13">
        <v>1</v>
      </c>
      <c r="H7" s="73">
        <v>852</v>
      </c>
      <c r="I7" s="73"/>
    </row>
    <row r="8" spans="1:9" x14ac:dyDescent="0.25">
      <c r="A8" s="12">
        <v>6</v>
      </c>
      <c r="B8" s="71" t="s">
        <v>87</v>
      </c>
      <c r="C8" s="71"/>
      <c r="D8" s="71"/>
      <c r="E8" s="72">
        <v>45787</v>
      </c>
      <c r="F8" s="71"/>
      <c r="G8" s="13">
        <v>1</v>
      </c>
      <c r="H8" s="73">
        <v>10</v>
      </c>
      <c r="I8" s="73"/>
    </row>
    <row r="9" spans="1:9" x14ac:dyDescent="0.25">
      <c r="A9" s="12">
        <v>7</v>
      </c>
      <c r="B9" s="71" t="s">
        <v>88</v>
      </c>
      <c r="C9" s="71"/>
      <c r="D9" s="71"/>
      <c r="E9" s="72">
        <v>45787</v>
      </c>
      <c r="F9" s="71"/>
      <c r="G9" s="13">
        <v>1</v>
      </c>
      <c r="H9" s="73">
        <v>16</v>
      </c>
      <c r="I9" s="73"/>
    </row>
    <row r="10" spans="1:9" x14ac:dyDescent="0.25">
      <c r="A10" s="12"/>
      <c r="B10" s="71"/>
      <c r="C10" s="71"/>
      <c r="D10" s="71"/>
      <c r="E10" s="75" t="s">
        <v>27</v>
      </c>
      <c r="F10" s="75"/>
      <c r="G10" s="75"/>
      <c r="H10" s="73">
        <f>SUM(H3:I9)</f>
        <v>1946</v>
      </c>
      <c r="I10" s="71"/>
    </row>
    <row r="11" spans="1:9" x14ac:dyDescent="0.25">
      <c r="A11" s="12"/>
      <c r="B11" s="71"/>
      <c r="C11" s="71"/>
      <c r="D11" s="71"/>
      <c r="E11" s="76" t="s">
        <v>28</v>
      </c>
      <c r="F11" s="76"/>
      <c r="G11" s="76"/>
      <c r="H11" s="73">
        <f>ROUND(H10,0)</f>
        <v>1946</v>
      </c>
      <c r="I11" s="71"/>
    </row>
    <row r="12" spans="1:9" x14ac:dyDescent="0.25">
      <c r="A12" s="77"/>
      <c r="B12" s="78"/>
      <c r="C12" s="78"/>
      <c r="D12" s="78"/>
      <c r="E12" s="78"/>
      <c r="F12" s="78"/>
      <c r="G12" s="78"/>
      <c r="H12" s="78"/>
      <c r="I12" s="78"/>
    </row>
    <row r="13" spans="1:9" ht="15.75" x14ac:dyDescent="0.25">
      <c r="A13" s="11" t="s">
        <v>22</v>
      </c>
      <c r="B13" s="74" t="s">
        <v>23</v>
      </c>
      <c r="C13" s="74"/>
      <c r="D13" s="74"/>
      <c r="E13" s="74" t="s">
        <v>24</v>
      </c>
      <c r="F13" s="74"/>
      <c r="G13" s="11" t="s">
        <v>25</v>
      </c>
      <c r="H13" s="74" t="s">
        <v>26</v>
      </c>
      <c r="I13" s="74"/>
    </row>
    <row r="14" spans="1:9" x14ac:dyDescent="0.25">
      <c r="A14" s="12">
        <v>1</v>
      </c>
      <c r="B14" s="71" t="s">
        <v>89</v>
      </c>
      <c r="C14" s="71"/>
      <c r="D14" s="71"/>
      <c r="E14" s="72">
        <v>45787</v>
      </c>
      <c r="F14" s="71"/>
      <c r="G14" s="12">
        <v>1</v>
      </c>
      <c r="H14" s="73">
        <v>150</v>
      </c>
      <c r="I14" s="73"/>
    </row>
    <row r="15" spans="1:9" x14ac:dyDescent="0.25">
      <c r="A15" s="12">
        <v>2</v>
      </c>
      <c r="B15" s="71" t="s">
        <v>90</v>
      </c>
      <c r="C15" s="71"/>
      <c r="D15" s="71"/>
      <c r="E15" s="72">
        <v>45787</v>
      </c>
      <c r="F15" s="71"/>
      <c r="G15" s="32">
        <v>1</v>
      </c>
      <c r="H15" s="73">
        <v>202</v>
      </c>
      <c r="I15" s="73"/>
    </row>
    <row r="16" spans="1:9" x14ac:dyDescent="0.25">
      <c r="A16" s="12">
        <v>3</v>
      </c>
      <c r="B16" s="71" t="s">
        <v>91</v>
      </c>
      <c r="C16" s="71"/>
      <c r="D16" s="71"/>
      <c r="E16" s="72">
        <v>45787</v>
      </c>
      <c r="F16" s="71"/>
      <c r="G16" s="32">
        <v>1</v>
      </c>
      <c r="H16" s="73">
        <v>63</v>
      </c>
      <c r="I16" s="73"/>
    </row>
    <row r="17" spans="1:9" x14ac:dyDescent="0.25">
      <c r="A17" s="12">
        <v>4</v>
      </c>
      <c r="B17" s="71" t="s">
        <v>92</v>
      </c>
      <c r="C17" s="71"/>
      <c r="D17" s="71"/>
      <c r="E17" s="72">
        <v>45787</v>
      </c>
      <c r="F17" s="71"/>
      <c r="G17" s="32">
        <v>1</v>
      </c>
      <c r="H17" s="73">
        <v>150</v>
      </c>
      <c r="I17" s="73"/>
    </row>
    <row r="18" spans="1:9" x14ac:dyDescent="0.25">
      <c r="A18" s="12">
        <v>5</v>
      </c>
      <c r="B18" s="71" t="s">
        <v>93</v>
      </c>
      <c r="C18" s="71"/>
      <c r="D18" s="71"/>
      <c r="E18" s="72">
        <v>45787</v>
      </c>
      <c r="F18" s="71"/>
      <c r="G18" s="32">
        <v>1</v>
      </c>
      <c r="H18" s="73">
        <v>120</v>
      </c>
      <c r="I18" s="73"/>
    </row>
    <row r="19" spans="1:9" x14ac:dyDescent="0.25">
      <c r="A19" s="12">
        <v>6</v>
      </c>
      <c r="B19" s="71" t="s">
        <v>94</v>
      </c>
      <c r="C19" s="71"/>
      <c r="D19" s="71"/>
      <c r="E19" s="72">
        <v>45787</v>
      </c>
      <c r="F19" s="71"/>
      <c r="G19" s="32">
        <v>1</v>
      </c>
      <c r="H19" s="73">
        <v>183</v>
      </c>
      <c r="I19" s="73"/>
    </row>
    <row r="20" spans="1:9" x14ac:dyDescent="0.25">
      <c r="A20" s="12">
        <v>7</v>
      </c>
      <c r="B20" s="71" t="s">
        <v>95</v>
      </c>
      <c r="C20" s="71"/>
      <c r="D20" s="71"/>
      <c r="E20" s="72">
        <v>45787</v>
      </c>
      <c r="F20" s="71"/>
      <c r="G20" s="32">
        <v>1</v>
      </c>
      <c r="H20" s="73">
        <v>64</v>
      </c>
      <c r="I20" s="73"/>
    </row>
    <row r="21" spans="1:9" x14ac:dyDescent="0.25">
      <c r="A21" s="12"/>
      <c r="B21" s="71"/>
      <c r="C21" s="71"/>
      <c r="D21" s="71"/>
      <c r="E21" s="75" t="s">
        <v>27</v>
      </c>
      <c r="F21" s="75"/>
      <c r="G21" s="75"/>
      <c r="H21" s="73">
        <f>SUM(H14:H20)</f>
        <v>932</v>
      </c>
      <c r="I21" s="71"/>
    </row>
    <row r="22" spans="1:9" x14ac:dyDescent="0.25">
      <c r="A22" s="12"/>
      <c r="B22" s="71"/>
      <c r="C22" s="71"/>
      <c r="D22" s="71"/>
      <c r="E22" s="76" t="s">
        <v>28</v>
      </c>
      <c r="F22" s="76"/>
      <c r="G22" s="76"/>
      <c r="H22" s="73">
        <f>ROUND(H21,0)</f>
        <v>932</v>
      </c>
      <c r="I22" s="71"/>
    </row>
    <row r="23" spans="1:9" x14ac:dyDescent="0.25">
      <c r="A23" s="77"/>
      <c r="B23" s="78"/>
      <c r="C23" s="78"/>
      <c r="D23" s="78"/>
      <c r="E23" s="78"/>
      <c r="F23" s="78"/>
      <c r="G23" s="78"/>
      <c r="H23" s="78"/>
      <c r="I23" s="79"/>
    </row>
    <row r="24" spans="1:9" ht="15.75" x14ac:dyDescent="0.25">
      <c r="A24" s="11" t="s">
        <v>22</v>
      </c>
      <c r="B24" s="74" t="s">
        <v>23</v>
      </c>
      <c r="C24" s="74"/>
      <c r="D24" s="74"/>
      <c r="E24" s="74" t="s">
        <v>24</v>
      </c>
      <c r="F24" s="74"/>
      <c r="G24" s="11" t="s">
        <v>25</v>
      </c>
      <c r="H24" s="74" t="s">
        <v>26</v>
      </c>
      <c r="I24" s="74"/>
    </row>
    <row r="25" spans="1:9" x14ac:dyDescent="0.25">
      <c r="A25" s="12">
        <v>1</v>
      </c>
      <c r="B25" s="71" t="s">
        <v>96</v>
      </c>
      <c r="C25" s="71"/>
      <c r="D25" s="71"/>
      <c r="E25" s="72">
        <v>45787</v>
      </c>
      <c r="F25" s="71"/>
      <c r="G25" s="12">
        <v>2</v>
      </c>
      <c r="H25" s="73">
        <v>160</v>
      </c>
      <c r="I25" s="73"/>
    </row>
    <row r="26" spans="1:9" x14ac:dyDescent="0.25">
      <c r="A26" s="12">
        <v>2</v>
      </c>
      <c r="B26" s="71" t="s">
        <v>97</v>
      </c>
      <c r="C26" s="71"/>
      <c r="D26" s="71"/>
      <c r="E26" s="72">
        <v>45787</v>
      </c>
      <c r="F26" s="71"/>
      <c r="G26" s="12">
        <v>1</v>
      </c>
      <c r="H26" s="73">
        <v>80</v>
      </c>
      <c r="I26" s="73"/>
    </row>
    <row r="27" spans="1:9" x14ac:dyDescent="0.25">
      <c r="A27" s="12">
        <v>3</v>
      </c>
      <c r="B27" s="71" t="s">
        <v>98</v>
      </c>
      <c r="C27" s="71"/>
      <c r="D27" s="71"/>
      <c r="E27" s="72">
        <v>45787</v>
      </c>
      <c r="F27" s="71"/>
      <c r="G27" s="32">
        <v>1</v>
      </c>
      <c r="H27" s="73">
        <v>109</v>
      </c>
      <c r="I27" s="73"/>
    </row>
    <row r="28" spans="1:9" x14ac:dyDescent="0.25">
      <c r="A28" s="12">
        <v>4</v>
      </c>
      <c r="B28" s="71" t="s">
        <v>99</v>
      </c>
      <c r="C28" s="71"/>
      <c r="D28" s="71"/>
      <c r="E28" s="72">
        <v>45787</v>
      </c>
      <c r="F28" s="71"/>
      <c r="G28" s="32">
        <v>1</v>
      </c>
      <c r="H28" s="73">
        <v>75</v>
      </c>
      <c r="I28" s="73"/>
    </row>
    <row r="29" spans="1:9" x14ac:dyDescent="0.25">
      <c r="A29" s="12">
        <v>5</v>
      </c>
      <c r="B29" s="71" t="s">
        <v>100</v>
      </c>
      <c r="C29" s="71"/>
      <c r="D29" s="71"/>
      <c r="E29" s="72">
        <v>45787</v>
      </c>
      <c r="F29" s="71"/>
      <c r="G29" s="32">
        <v>1</v>
      </c>
      <c r="H29" s="73">
        <v>69</v>
      </c>
      <c r="I29" s="73"/>
    </row>
    <row r="30" spans="1:9" x14ac:dyDescent="0.25">
      <c r="A30" s="12">
        <v>6</v>
      </c>
      <c r="B30" s="71" t="s">
        <v>101</v>
      </c>
      <c r="C30" s="71"/>
      <c r="D30" s="71"/>
      <c r="E30" s="72">
        <v>45787</v>
      </c>
      <c r="F30" s="71"/>
      <c r="G30" s="32">
        <v>1</v>
      </c>
      <c r="H30" s="73">
        <v>33</v>
      </c>
      <c r="I30" s="73"/>
    </row>
    <row r="31" spans="1:9" x14ac:dyDescent="0.25">
      <c r="A31" s="12">
        <v>7</v>
      </c>
      <c r="B31" s="71" t="s">
        <v>102</v>
      </c>
      <c r="C31" s="71"/>
      <c r="D31" s="71"/>
      <c r="E31" s="72">
        <v>45787</v>
      </c>
      <c r="F31" s="71"/>
      <c r="G31" s="12">
        <v>2</v>
      </c>
      <c r="H31" s="73">
        <v>50</v>
      </c>
      <c r="I31" s="73"/>
    </row>
    <row r="32" spans="1:9" x14ac:dyDescent="0.25">
      <c r="A32" s="2"/>
      <c r="B32" s="71"/>
      <c r="C32" s="71"/>
      <c r="D32" s="71"/>
      <c r="E32" s="75" t="s">
        <v>27</v>
      </c>
      <c r="F32" s="75"/>
      <c r="G32" s="75"/>
      <c r="H32" s="73">
        <f>SUM(H25:H31)</f>
        <v>576</v>
      </c>
      <c r="I32" s="71"/>
    </row>
    <row r="33" spans="1:9" x14ac:dyDescent="0.25">
      <c r="A33" s="2"/>
      <c r="B33" s="71"/>
      <c r="C33" s="71"/>
      <c r="D33" s="71"/>
      <c r="E33" s="76" t="s">
        <v>28</v>
      </c>
      <c r="F33" s="76"/>
      <c r="G33" s="76"/>
      <c r="H33" s="73">
        <f>ROUND(H32,0)</f>
        <v>576</v>
      </c>
      <c r="I33" s="71"/>
    </row>
    <row r="34" spans="1:9" x14ac:dyDescent="0.25">
      <c r="A34" s="77"/>
      <c r="B34" s="78"/>
      <c r="C34" s="78"/>
      <c r="D34" s="78"/>
      <c r="E34" s="78"/>
      <c r="F34" s="78"/>
      <c r="G34" s="78"/>
      <c r="H34" s="78"/>
      <c r="I34" s="79"/>
    </row>
    <row r="35" spans="1:9" ht="15.75" x14ac:dyDescent="0.25">
      <c r="A35" s="11" t="s">
        <v>22</v>
      </c>
      <c r="B35" s="74" t="s">
        <v>23</v>
      </c>
      <c r="C35" s="74"/>
      <c r="D35" s="74"/>
      <c r="E35" s="74" t="s">
        <v>24</v>
      </c>
      <c r="F35" s="74"/>
      <c r="G35" s="11" t="s">
        <v>25</v>
      </c>
      <c r="H35" s="74" t="s">
        <v>26</v>
      </c>
      <c r="I35" s="74"/>
    </row>
    <row r="36" spans="1:9" x14ac:dyDescent="0.25">
      <c r="A36" s="2">
        <v>1</v>
      </c>
      <c r="B36" s="71" t="s">
        <v>103</v>
      </c>
      <c r="C36" s="71"/>
      <c r="D36" s="71"/>
      <c r="E36" s="72">
        <v>45787</v>
      </c>
      <c r="F36" s="71"/>
      <c r="G36" s="12">
        <v>1</v>
      </c>
      <c r="H36" s="73">
        <v>13</v>
      </c>
      <c r="I36" s="73"/>
    </row>
    <row r="37" spans="1:9" x14ac:dyDescent="0.25">
      <c r="A37" s="2">
        <v>2</v>
      </c>
      <c r="B37" s="71" t="s">
        <v>104</v>
      </c>
      <c r="C37" s="71"/>
      <c r="D37" s="71"/>
      <c r="E37" s="72">
        <v>45787</v>
      </c>
      <c r="F37" s="71"/>
      <c r="G37" s="32">
        <v>1</v>
      </c>
      <c r="H37" s="73">
        <v>26</v>
      </c>
      <c r="I37" s="73"/>
    </row>
    <row r="38" spans="1:9" x14ac:dyDescent="0.25">
      <c r="A38" s="2">
        <v>3</v>
      </c>
      <c r="B38" s="71" t="s">
        <v>105</v>
      </c>
      <c r="C38" s="71"/>
      <c r="D38" s="71"/>
      <c r="E38" s="72">
        <v>45787</v>
      </c>
      <c r="F38" s="71"/>
      <c r="G38" s="32">
        <v>1</v>
      </c>
      <c r="H38" s="73">
        <v>30</v>
      </c>
      <c r="I38" s="73"/>
    </row>
    <row r="39" spans="1:9" x14ac:dyDescent="0.25">
      <c r="A39" s="2">
        <v>4</v>
      </c>
      <c r="B39" s="71" t="s">
        <v>106</v>
      </c>
      <c r="C39" s="71"/>
      <c r="D39" s="71"/>
      <c r="E39" s="72">
        <v>45787</v>
      </c>
      <c r="F39" s="71"/>
      <c r="G39" s="32">
        <v>1</v>
      </c>
      <c r="H39" s="73">
        <v>7</v>
      </c>
      <c r="I39" s="73"/>
    </row>
    <row r="40" spans="1:9" x14ac:dyDescent="0.25">
      <c r="A40" s="2">
        <v>5</v>
      </c>
      <c r="B40" s="71" t="s">
        <v>107</v>
      </c>
      <c r="C40" s="71"/>
      <c r="D40" s="71"/>
      <c r="E40" s="72">
        <v>45787</v>
      </c>
      <c r="F40" s="71"/>
      <c r="G40" s="32">
        <v>1</v>
      </c>
      <c r="H40" s="73">
        <v>33</v>
      </c>
      <c r="I40" s="73"/>
    </row>
    <row r="41" spans="1:9" x14ac:dyDescent="0.25">
      <c r="A41" s="2">
        <v>6</v>
      </c>
      <c r="B41" s="71" t="s">
        <v>108</v>
      </c>
      <c r="C41" s="71"/>
      <c r="D41" s="71"/>
      <c r="E41" s="72">
        <v>45787</v>
      </c>
      <c r="F41" s="71"/>
      <c r="G41" s="32">
        <v>1</v>
      </c>
      <c r="H41" s="73">
        <v>16</v>
      </c>
      <c r="I41" s="73"/>
    </row>
    <row r="42" spans="1:9" x14ac:dyDescent="0.25">
      <c r="A42" s="2">
        <v>7</v>
      </c>
      <c r="B42" s="71" t="s">
        <v>109</v>
      </c>
      <c r="C42" s="71"/>
      <c r="D42" s="71"/>
      <c r="E42" s="72">
        <v>45787</v>
      </c>
      <c r="F42" s="71"/>
      <c r="G42" s="32">
        <v>1</v>
      </c>
      <c r="H42" s="73">
        <v>22</v>
      </c>
      <c r="I42" s="73"/>
    </row>
    <row r="43" spans="1:9" x14ac:dyDescent="0.25">
      <c r="A43" s="2"/>
      <c r="B43" s="71"/>
      <c r="C43" s="71"/>
      <c r="D43" s="71"/>
      <c r="E43" s="75" t="s">
        <v>27</v>
      </c>
      <c r="F43" s="75"/>
      <c r="G43" s="75"/>
      <c r="H43" s="73">
        <f>SUM(H36:H42)</f>
        <v>147</v>
      </c>
      <c r="I43" s="71"/>
    </row>
    <row r="44" spans="1:9" x14ac:dyDescent="0.25">
      <c r="A44" s="2"/>
      <c r="B44" s="71"/>
      <c r="C44" s="71"/>
      <c r="D44" s="71"/>
      <c r="E44" s="76" t="s">
        <v>28</v>
      </c>
      <c r="F44" s="76"/>
      <c r="G44" s="76"/>
      <c r="H44" s="73">
        <f>ROUND(H43,0)</f>
        <v>147</v>
      </c>
      <c r="I44" s="71"/>
    </row>
    <row r="46" spans="1:9" ht="15.75" x14ac:dyDescent="0.25">
      <c r="A46" s="11" t="s">
        <v>22</v>
      </c>
      <c r="B46" s="74" t="s">
        <v>23</v>
      </c>
      <c r="C46" s="74"/>
      <c r="D46" s="74"/>
      <c r="E46" s="74" t="s">
        <v>24</v>
      </c>
      <c r="F46" s="74"/>
      <c r="G46" s="11" t="s">
        <v>25</v>
      </c>
      <c r="H46" s="74" t="s">
        <v>26</v>
      </c>
      <c r="I46" s="74"/>
    </row>
    <row r="47" spans="1:9" x14ac:dyDescent="0.25">
      <c r="A47" s="2">
        <v>1</v>
      </c>
      <c r="B47" s="71" t="s">
        <v>110</v>
      </c>
      <c r="C47" s="71"/>
      <c r="D47" s="71"/>
      <c r="E47" s="72">
        <v>45787</v>
      </c>
      <c r="F47" s="71"/>
      <c r="G47" s="12">
        <v>1</v>
      </c>
      <c r="H47" s="73">
        <v>412</v>
      </c>
      <c r="I47" s="73"/>
    </row>
    <row r="48" spans="1:9" x14ac:dyDescent="0.25">
      <c r="A48" s="2">
        <v>2</v>
      </c>
      <c r="B48" s="71" t="s">
        <v>111</v>
      </c>
      <c r="C48" s="71"/>
      <c r="D48" s="71"/>
      <c r="E48" s="72">
        <v>45787</v>
      </c>
      <c r="F48" s="71"/>
      <c r="G48" s="32">
        <v>1</v>
      </c>
      <c r="H48" s="73">
        <v>7</v>
      </c>
      <c r="I48" s="73"/>
    </row>
    <row r="49" spans="1:9" x14ac:dyDescent="0.25">
      <c r="A49" s="2">
        <v>3</v>
      </c>
      <c r="B49" s="71" t="s">
        <v>112</v>
      </c>
      <c r="C49" s="71"/>
      <c r="D49" s="71"/>
      <c r="E49" s="72">
        <v>45787</v>
      </c>
      <c r="F49" s="71"/>
      <c r="G49" s="32">
        <v>1</v>
      </c>
      <c r="H49" s="73">
        <v>20</v>
      </c>
      <c r="I49" s="73"/>
    </row>
    <row r="50" spans="1:9" x14ac:dyDescent="0.25">
      <c r="A50" s="2">
        <v>4</v>
      </c>
      <c r="B50" s="71" t="s">
        <v>113</v>
      </c>
      <c r="C50" s="71"/>
      <c r="D50" s="71"/>
      <c r="E50" s="72">
        <v>45787</v>
      </c>
      <c r="F50" s="71"/>
      <c r="G50" s="32">
        <v>1</v>
      </c>
      <c r="H50" s="73">
        <v>39</v>
      </c>
      <c r="I50" s="73"/>
    </row>
    <row r="51" spans="1:9" x14ac:dyDescent="0.25">
      <c r="A51" s="2">
        <v>5</v>
      </c>
      <c r="B51" s="71" t="s">
        <v>114</v>
      </c>
      <c r="C51" s="71"/>
      <c r="D51" s="71"/>
      <c r="E51" s="72">
        <v>45787</v>
      </c>
      <c r="F51" s="71"/>
      <c r="G51" s="32">
        <v>1</v>
      </c>
      <c r="H51" s="73">
        <v>3</v>
      </c>
      <c r="I51" s="73"/>
    </row>
    <row r="52" spans="1:9" x14ac:dyDescent="0.25">
      <c r="A52" s="2">
        <v>6</v>
      </c>
      <c r="B52" s="71" t="s">
        <v>115</v>
      </c>
      <c r="C52" s="71"/>
      <c r="D52" s="71"/>
      <c r="E52" s="72">
        <v>45787</v>
      </c>
      <c r="F52" s="71"/>
      <c r="G52" s="32">
        <v>1</v>
      </c>
      <c r="H52" s="73">
        <v>1055</v>
      </c>
      <c r="I52" s="73"/>
    </row>
    <row r="53" spans="1:9" x14ac:dyDescent="0.25">
      <c r="A53" s="2">
        <v>7</v>
      </c>
      <c r="B53" s="71" t="s">
        <v>116</v>
      </c>
      <c r="C53" s="71"/>
      <c r="D53" s="71"/>
      <c r="E53" s="72">
        <v>45787</v>
      </c>
      <c r="F53" s="71"/>
      <c r="G53" s="32">
        <v>1</v>
      </c>
      <c r="H53" s="73">
        <v>399</v>
      </c>
      <c r="I53" s="73"/>
    </row>
    <row r="54" spans="1:9" x14ac:dyDescent="0.25">
      <c r="A54" s="2"/>
      <c r="B54" s="71"/>
      <c r="C54" s="71"/>
      <c r="D54" s="71"/>
      <c r="E54" s="75" t="s">
        <v>27</v>
      </c>
      <c r="F54" s="75"/>
      <c r="G54" s="75"/>
      <c r="H54" s="73">
        <f>SUM(H47:H53)</f>
        <v>1935</v>
      </c>
      <c r="I54" s="71"/>
    </row>
    <row r="55" spans="1:9" x14ac:dyDescent="0.25">
      <c r="A55" s="2"/>
      <c r="B55" s="71"/>
      <c r="C55" s="71"/>
      <c r="D55" s="71"/>
      <c r="E55" s="76" t="s">
        <v>28</v>
      </c>
      <c r="F55" s="76"/>
      <c r="G55" s="76"/>
      <c r="H55" s="73">
        <f>ROUND(H54,0)</f>
        <v>1935</v>
      </c>
      <c r="I55" s="71"/>
    </row>
    <row r="57" spans="1:9" ht="15.75" x14ac:dyDescent="0.25">
      <c r="A57" s="11" t="s">
        <v>22</v>
      </c>
      <c r="B57" s="74" t="s">
        <v>23</v>
      </c>
      <c r="C57" s="74"/>
      <c r="D57" s="74"/>
      <c r="E57" s="74" t="s">
        <v>24</v>
      </c>
      <c r="F57" s="74"/>
      <c r="G57" s="11" t="s">
        <v>25</v>
      </c>
      <c r="H57" s="74" t="s">
        <v>26</v>
      </c>
      <c r="I57" s="74"/>
    </row>
    <row r="58" spans="1:9" x14ac:dyDescent="0.25">
      <c r="A58" s="2">
        <v>1</v>
      </c>
      <c r="B58" s="71" t="s">
        <v>117</v>
      </c>
      <c r="C58" s="71"/>
      <c r="D58" s="71"/>
      <c r="E58" s="72">
        <v>45787</v>
      </c>
      <c r="F58" s="71"/>
      <c r="G58" s="12">
        <v>1</v>
      </c>
      <c r="H58" s="73">
        <v>410</v>
      </c>
      <c r="I58" s="73"/>
    </row>
    <row r="59" spans="1:9" x14ac:dyDescent="0.25">
      <c r="A59" s="2">
        <v>2</v>
      </c>
      <c r="B59" s="71" t="s">
        <v>118</v>
      </c>
      <c r="C59" s="71"/>
      <c r="D59" s="71"/>
      <c r="E59" s="72">
        <v>45787</v>
      </c>
      <c r="F59" s="71"/>
      <c r="G59" s="32">
        <v>1</v>
      </c>
      <c r="H59" s="73">
        <v>101.94</v>
      </c>
      <c r="I59" s="73"/>
    </row>
    <row r="60" spans="1:9" x14ac:dyDescent="0.25">
      <c r="A60" s="2">
        <v>3</v>
      </c>
      <c r="B60" s="71" t="s">
        <v>119</v>
      </c>
      <c r="C60" s="71"/>
      <c r="D60" s="71"/>
      <c r="E60" s="72">
        <v>45787</v>
      </c>
      <c r="F60" s="71"/>
      <c r="G60" s="32">
        <v>1</v>
      </c>
      <c r="H60" s="73">
        <v>21.25</v>
      </c>
      <c r="I60" s="73"/>
    </row>
    <row r="61" spans="1:9" x14ac:dyDescent="0.25">
      <c r="A61" s="2">
        <v>4</v>
      </c>
      <c r="B61" s="71" t="s">
        <v>120</v>
      </c>
      <c r="C61" s="71"/>
      <c r="D61" s="71"/>
      <c r="E61" s="72">
        <v>45787</v>
      </c>
      <c r="F61" s="71"/>
      <c r="G61" s="32">
        <v>1</v>
      </c>
      <c r="H61" s="73">
        <v>270</v>
      </c>
      <c r="I61" s="73"/>
    </row>
    <row r="62" spans="1:9" x14ac:dyDescent="0.25">
      <c r="A62" s="2">
        <v>5</v>
      </c>
      <c r="B62" s="71" t="s">
        <v>121</v>
      </c>
      <c r="C62" s="71"/>
      <c r="D62" s="71"/>
      <c r="E62" s="72">
        <v>45787</v>
      </c>
      <c r="F62" s="71"/>
      <c r="G62" s="32">
        <v>6</v>
      </c>
      <c r="H62" s="73">
        <v>6</v>
      </c>
      <c r="I62" s="73"/>
    </row>
    <row r="63" spans="1:9" x14ac:dyDescent="0.25">
      <c r="A63" s="2">
        <v>6</v>
      </c>
      <c r="B63" s="71" t="s">
        <v>122</v>
      </c>
      <c r="C63" s="71"/>
      <c r="D63" s="71"/>
      <c r="E63" s="72">
        <v>45787</v>
      </c>
      <c r="F63" s="71"/>
      <c r="G63" s="32">
        <v>1</v>
      </c>
      <c r="H63" s="73">
        <v>33</v>
      </c>
      <c r="I63" s="73"/>
    </row>
    <row r="64" spans="1:9" x14ac:dyDescent="0.25">
      <c r="A64" s="2">
        <v>7</v>
      </c>
      <c r="B64" s="71" t="s">
        <v>123</v>
      </c>
      <c r="C64" s="71"/>
      <c r="D64" s="71"/>
      <c r="E64" s="72">
        <v>45787</v>
      </c>
      <c r="F64" s="71"/>
      <c r="G64" s="32">
        <v>1</v>
      </c>
      <c r="H64" s="73">
        <v>39</v>
      </c>
      <c r="I64" s="73"/>
    </row>
    <row r="65" spans="1:9" x14ac:dyDescent="0.25">
      <c r="A65" s="2"/>
      <c r="B65" s="71"/>
      <c r="C65" s="71"/>
      <c r="D65" s="71"/>
      <c r="E65" s="75" t="s">
        <v>27</v>
      </c>
      <c r="F65" s="75"/>
      <c r="G65" s="75"/>
      <c r="H65" s="73">
        <f>SUM(H58:H64)</f>
        <v>881.19</v>
      </c>
      <c r="I65" s="71"/>
    </row>
    <row r="66" spans="1:9" x14ac:dyDescent="0.25">
      <c r="A66" s="2"/>
      <c r="B66" s="71"/>
      <c r="C66" s="71"/>
      <c r="D66" s="71"/>
      <c r="E66" s="76" t="s">
        <v>28</v>
      </c>
      <c r="F66" s="76"/>
      <c r="G66" s="76"/>
      <c r="H66" s="73">
        <f>ROUND(H65,0)</f>
        <v>881</v>
      </c>
      <c r="I66" s="71"/>
    </row>
    <row r="68" spans="1:9" ht="15.75" x14ac:dyDescent="0.25">
      <c r="A68" s="11" t="s">
        <v>22</v>
      </c>
      <c r="B68" s="74" t="s">
        <v>23</v>
      </c>
      <c r="C68" s="74"/>
      <c r="D68" s="74"/>
      <c r="E68" s="74" t="s">
        <v>24</v>
      </c>
      <c r="F68" s="74"/>
      <c r="G68" s="11" t="s">
        <v>25</v>
      </c>
      <c r="H68" s="74" t="s">
        <v>26</v>
      </c>
      <c r="I68" s="74"/>
    </row>
    <row r="69" spans="1:9" x14ac:dyDescent="0.25">
      <c r="A69" s="2">
        <v>1</v>
      </c>
      <c r="B69" s="71" t="s">
        <v>124</v>
      </c>
      <c r="C69" s="71"/>
      <c r="D69" s="71"/>
      <c r="E69" s="72">
        <v>45818</v>
      </c>
      <c r="F69" s="71"/>
      <c r="G69" s="12">
        <v>1</v>
      </c>
      <c r="H69" s="73">
        <v>225</v>
      </c>
      <c r="I69" s="73"/>
    </row>
    <row r="70" spans="1:9" x14ac:dyDescent="0.25">
      <c r="A70" s="2">
        <v>2</v>
      </c>
      <c r="B70" s="71" t="s">
        <v>125</v>
      </c>
      <c r="C70" s="71"/>
      <c r="D70" s="71"/>
      <c r="E70" s="72">
        <v>45818</v>
      </c>
      <c r="F70" s="71"/>
      <c r="G70" s="32">
        <v>1</v>
      </c>
      <c r="H70" s="73">
        <v>202</v>
      </c>
      <c r="I70" s="73"/>
    </row>
    <row r="71" spans="1:9" x14ac:dyDescent="0.25">
      <c r="A71" s="2">
        <v>3</v>
      </c>
      <c r="B71" s="71" t="s">
        <v>126</v>
      </c>
      <c r="C71" s="71"/>
      <c r="D71" s="71"/>
      <c r="E71" s="72">
        <v>45818</v>
      </c>
      <c r="F71" s="71"/>
      <c r="G71" s="32">
        <v>1</v>
      </c>
      <c r="H71" s="73">
        <v>412</v>
      </c>
      <c r="I71" s="73"/>
    </row>
    <row r="72" spans="1:9" x14ac:dyDescent="0.25">
      <c r="A72" s="2">
        <v>4</v>
      </c>
      <c r="B72" s="71" t="s">
        <v>127</v>
      </c>
      <c r="C72" s="71"/>
      <c r="D72" s="71"/>
      <c r="E72" s="72">
        <v>45818</v>
      </c>
      <c r="F72" s="71"/>
      <c r="G72" s="32">
        <v>1</v>
      </c>
      <c r="H72" s="73">
        <v>26</v>
      </c>
      <c r="I72" s="73"/>
    </row>
    <row r="73" spans="1:9" x14ac:dyDescent="0.25">
      <c r="A73" s="2">
        <v>5</v>
      </c>
      <c r="B73" s="71" t="s">
        <v>100</v>
      </c>
      <c r="C73" s="71"/>
      <c r="D73" s="71"/>
      <c r="E73" s="72">
        <v>45818</v>
      </c>
      <c r="F73" s="71"/>
      <c r="G73" s="32">
        <v>1</v>
      </c>
      <c r="H73" s="73">
        <v>69</v>
      </c>
      <c r="I73" s="73"/>
    </row>
    <row r="74" spans="1:9" x14ac:dyDescent="0.25">
      <c r="A74" s="2">
        <v>6</v>
      </c>
      <c r="B74" s="71" t="s">
        <v>128</v>
      </c>
      <c r="C74" s="71"/>
      <c r="D74" s="71"/>
      <c r="E74" s="72">
        <v>45818</v>
      </c>
      <c r="F74" s="71"/>
      <c r="G74" s="32">
        <v>1</v>
      </c>
      <c r="H74" s="73">
        <v>25</v>
      </c>
      <c r="I74" s="73"/>
    </row>
    <row r="75" spans="1:9" x14ac:dyDescent="0.25">
      <c r="A75" s="2">
        <v>7</v>
      </c>
      <c r="B75" s="71" t="s">
        <v>87</v>
      </c>
      <c r="C75" s="71"/>
      <c r="D75" s="71"/>
      <c r="E75" s="72">
        <v>45818</v>
      </c>
      <c r="F75" s="71"/>
      <c r="G75" s="32">
        <v>1</v>
      </c>
      <c r="H75" s="73">
        <v>10</v>
      </c>
      <c r="I75" s="73"/>
    </row>
    <row r="76" spans="1:9" x14ac:dyDescent="0.25">
      <c r="A76" s="2"/>
      <c r="B76" s="71"/>
      <c r="C76" s="71"/>
      <c r="D76" s="71"/>
      <c r="E76" s="75" t="s">
        <v>27</v>
      </c>
      <c r="F76" s="75"/>
      <c r="G76" s="75"/>
      <c r="H76" s="73">
        <f>SUM(H69:H75)</f>
        <v>969</v>
      </c>
      <c r="I76" s="71"/>
    </row>
    <row r="77" spans="1:9" x14ac:dyDescent="0.25">
      <c r="A77" s="2"/>
      <c r="B77" s="71"/>
      <c r="C77" s="71"/>
      <c r="D77" s="71"/>
      <c r="E77" s="76" t="s">
        <v>28</v>
      </c>
      <c r="F77" s="76"/>
      <c r="G77" s="76"/>
      <c r="H77" s="73">
        <f>ROUND(H76,0)</f>
        <v>969</v>
      </c>
      <c r="I77" s="71"/>
    </row>
    <row r="79" spans="1:9" ht="15.75" x14ac:dyDescent="0.25">
      <c r="A79" s="11" t="s">
        <v>22</v>
      </c>
      <c r="B79" s="74" t="s">
        <v>23</v>
      </c>
      <c r="C79" s="74"/>
      <c r="D79" s="74"/>
      <c r="E79" s="74" t="s">
        <v>24</v>
      </c>
      <c r="F79" s="74"/>
      <c r="G79" s="11" t="s">
        <v>25</v>
      </c>
      <c r="H79" s="74" t="s">
        <v>26</v>
      </c>
      <c r="I79" s="74"/>
    </row>
    <row r="80" spans="1:9" x14ac:dyDescent="0.25">
      <c r="A80" s="2">
        <v>1</v>
      </c>
      <c r="B80" s="71" t="s">
        <v>129</v>
      </c>
      <c r="C80" s="71"/>
      <c r="D80" s="71"/>
      <c r="E80" s="72">
        <v>45848</v>
      </c>
      <c r="F80" s="71"/>
      <c r="G80" s="12">
        <v>1</v>
      </c>
      <c r="H80" s="73">
        <v>39</v>
      </c>
      <c r="I80" s="73"/>
    </row>
    <row r="81" spans="1:9" x14ac:dyDescent="0.25">
      <c r="A81" s="2">
        <v>2</v>
      </c>
      <c r="B81" s="71" t="s">
        <v>125</v>
      </c>
      <c r="C81" s="71"/>
      <c r="D81" s="71"/>
      <c r="E81" s="72">
        <v>45848</v>
      </c>
      <c r="F81" s="71"/>
      <c r="G81" s="32">
        <v>1</v>
      </c>
      <c r="H81" s="73">
        <v>202</v>
      </c>
      <c r="I81" s="73"/>
    </row>
    <row r="82" spans="1:9" x14ac:dyDescent="0.25">
      <c r="A82" s="2">
        <v>3</v>
      </c>
      <c r="B82" s="71" t="s">
        <v>130</v>
      </c>
      <c r="C82" s="71"/>
      <c r="D82" s="71"/>
      <c r="E82" s="72">
        <v>45848</v>
      </c>
      <c r="F82" s="71"/>
      <c r="G82" s="32">
        <v>1</v>
      </c>
      <c r="H82" s="73">
        <v>412</v>
      </c>
      <c r="I82" s="73"/>
    </row>
    <row r="83" spans="1:9" x14ac:dyDescent="0.25">
      <c r="A83" s="2">
        <v>4</v>
      </c>
      <c r="B83" s="71" t="s">
        <v>131</v>
      </c>
      <c r="C83" s="71"/>
      <c r="D83" s="71"/>
      <c r="E83" s="72">
        <v>45848</v>
      </c>
      <c r="F83" s="71"/>
      <c r="G83" s="32">
        <v>1</v>
      </c>
      <c r="H83" s="73">
        <v>26</v>
      </c>
      <c r="I83" s="73"/>
    </row>
    <row r="84" spans="1:9" x14ac:dyDescent="0.25">
      <c r="A84" s="2">
        <v>5</v>
      </c>
      <c r="B84" s="71" t="s">
        <v>100</v>
      </c>
      <c r="C84" s="71"/>
      <c r="D84" s="71"/>
      <c r="E84" s="72">
        <v>45848</v>
      </c>
      <c r="F84" s="71"/>
      <c r="G84" s="32">
        <v>1</v>
      </c>
      <c r="H84" s="73">
        <v>69</v>
      </c>
      <c r="I84" s="73"/>
    </row>
    <row r="85" spans="1:9" x14ac:dyDescent="0.25">
      <c r="A85" s="2">
        <v>6</v>
      </c>
      <c r="B85" s="71" t="s">
        <v>132</v>
      </c>
      <c r="C85" s="71"/>
      <c r="D85" s="71"/>
      <c r="E85" s="72">
        <v>45848</v>
      </c>
      <c r="F85" s="71"/>
      <c r="G85" s="32">
        <v>1</v>
      </c>
      <c r="H85" s="73">
        <v>25</v>
      </c>
      <c r="I85" s="73"/>
    </row>
    <row r="86" spans="1:9" x14ac:dyDescent="0.25">
      <c r="A86" s="2">
        <v>7</v>
      </c>
      <c r="B86" s="71" t="s">
        <v>87</v>
      </c>
      <c r="C86" s="71"/>
      <c r="D86" s="71"/>
      <c r="E86" s="72">
        <v>45848</v>
      </c>
      <c r="F86" s="71"/>
      <c r="G86" s="32">
        <v>1</v>
      </c>
      <c r="H86" s="73">
        <v>10</v>
      </c>
      <c r="I86" s="73"/>
    </row>
    <row r="87" spans="1:9" x14ac:dyDescent="0.25">
      <c r="A87" s="2"/>
      <c r="B87" s="71"/>
      <c r="C87" s="71"/>
      <c r="D87" s="71"/>
      <c r="E87" s="75" t="s">
        <v>27</v>
      </c>
      <c r="F87" s="75"/>
      <c r="G87" s="75"/>
      <c r="H87" s="73">
        <f>SUM(H80:H86)</f>
        <v>783</v>
      </c>
      <c r="I87" s="71"/>
    </row>
    <row r="88" spans="1:9" x14ac:dyDescent="0.25">
      <c r="A88" s="17"/>
      <c r="B88" s="94"/>
      <c r="C88" s="94"/>
      <c r="D88" s="94"/>
      <c r="E88" s="76" t="s">
        <v>28</v>
      </c>
      <c r="F88" s="76"/>
      <c r="G88" s="76"/>
      <c r="H88" s="73">
        <f>ROUND(H87,0)</f>
        <v>783</v>
      </c>
      <c r="I88" s="71"/>
    </row>
    <row r="89" spans="1:9" s="15" customFormat="1" x14ac:dyDescent="0.25">
      <c r="B89" s="16"/>
      <c r="C89" s="16"/>
      <c r="D89" s="16"/>
      <c r="E89" s="18"/>
      <c r="F89" s="18"/>
      <c r="G89" s="18"/>
      <c r="H89" s="19"/>
      <c r="I89" s="16"/>
    </row>
    <row r="90" spans="1:9" s="15" customFormat="1" ht="15.75" x14ac:dyDescent="0.25">
      <c r="A90" s="33" t="s">
        <v>22</v>
      </c>
      <c r="B90" s="74" t="s">
        <v>23</v>
      </c>
      <c r="C90" s="74"/>
      <c r="D90" s="74"/>
      <c r="E90" s="74" t="s">
        <v>24</v>
      </c>
      <c r="F90" s="74"/>
      <c r="G90" s="33" t="s">
        <v>25</v>
      </c>
      <c r="H90" s="74" t="s">
        <v>26</v>
      </c>
      <c r="I90" s="74"/>
    </row>
    <row r="91" spans="1:9" s="15" customFormat="1" x14ac:dyDescent="0.25">
      <c r="A91" s="2">
        <v>1</v>
      </c>
      <c r="B91" s="71" t="s">
        <v>133</v>
      </c>
      <c r="C91" s="71"/>
      <c r="D91" s="71"/>
      <c r="E91" s="72">
        <v>45879</v>
      </c>
      <c r="F91" s="71"/>
      <c r="G91" s="32">
        <v>10</v>
      </c>
      <c r="H91" s="73">
        <v>541.85</v>
      </c>
      <c r="I91" s="73"/>
    </row>
    <row r="92" spans="1:9" s="15" customFormat="1" x14ac:dyDescent="0.25">
      <c r="A92" s="2">
        <v>2</v>
      </c>
      <c r="B92" s="71" t="s">
        <v>134</v>
      </c>
      <c r="C92" s="71"/>
      <c r="D92" s="71"/>
      <c r="E92" s="72">
        <v>45879</v>
      </c>
      <c r="F92" s="71"/>
      <c r="G92" s="32">
        <v>10</v>
      </c>
      <c r="H92" s="73">
        <v>107.33</v>
      </c>
      <c r="I92" s="73"/>
    </row>
    <row r="93" spans="1:9" s="15" customFormat="1" x14ac:dyDescent="0.25">
      <c r="A93" s="2">
        <v>3</v>
      </c>
      <c r="B93" s="71" t="s">
        <v>135</v>
      </c>
      <c r="C93" s="71"/>
      <c r="D93" s="71"/>
      <c r="E93" s="72">
        <v>45879</v>
      </c>
      <c r="F93" s="71"/>
      <c r="G93" s="32">
        <v>10</v>
      </c>
      <c r="H93" s="73">
        <v>176.66</v>
      </c>
      <c r="I93" s="73"/>
    </row>
    <row r="94" spans="1:9" s="15" customFormat="1" x14ac:dyDescent="0.25">
      <c r="A94" s="2">
        <v>4</v>
      </c>
      <c r="B94" s="71" t="s">
        <v>136</v>
      </c>
      <c r="C94" s="71"/>
      <c r="D94" s="71"/>
      <c r="E94" s="72">
        <v>45879</v>
      </c>
      <c r="F94" s="71"/>
      <c r="G94" s="32">
        <v>10</v>
      </c>
      <c r="H94" s="73">
        <v>41.33</v>
      </c>
      <c r="I94" s="73"/>
    </row>
    <row r="95" spans="1:9" s="15" customFormat="1" x14ac:dyDescent="0.25">
      <c r="A95" s="2">
        <v>5</v>
      </c>
      <c r="B95" s="71" t="s">
        <v>137</v>
      </c>
      <c r="C95" s="71"/>
      <c r="D95" s="71"/>
      <c r="E95" s="72">
        <v>45879</v>
      </c>
      <c r="F95" s="71"/>
      <c r="G95" s="14">
        <v>1</v>
      </c>
      <c r="H95" s="73">
        <v>271</v>
      </c>
      <c r="I95" s="73"/>
    </row>
    <row r="96" spans="1:9" s="15" customFormat="1" x14ac:dyDescent="0.25">
      <c r="A96" s="2">
        <v>6</v>
      </c>
      <c r="B96" s="71" t="s">
        <v>138</v>
      </c>
      <c r="C96" s="71"/>
      <c r="D96" s="71"/>
      <c r="E96" s="72">
        <v>45879</v>
      </c>
      <c r="F96" s="71"/>
      <c r="G96" s="14">
        <v>1</v>
      </c>
      <c r="H96" s="73">
        <v>50</v>
      </c>
      <c r="I96" s="73"/>
    </row>
    <row r="97" spans="1:9" s="15" customFormat="1" x14ac:dyDescent="0.25">
      <c r="A97" s="2"/>
      <c r="B97" s="71"/>
      <c r="C97" s="71"/>
      <c r="D97" s="71"/>
      <c r="E97" s="75" t="s">
        <v>27</v>
      </c>
      <c r="F97" s="75"/>
      <c r="G97" s="75"/>
      <c r="H97" s="73">
        <f>SUM(H91:H96)</f>
        <v>1188.17</v>
      </c>
      <c r="I97" s="71"/>
    </row>
    <row r="98" spans="1:9" s="15" customFormat="1" x14ac:dyDescent="0.25">
      <c r="A98" s="2"/>
      <c r="B98" s="71"/>
      <c r="C98" s="71"/>
      <c r="D98" s="71"/>
      <c r="E98" s="76" t="s">
        <v>28</v>
      </c>
      <c r="F98" s="76"/>
      <c r="G98" s="76"/>
      <c r="H98" s="73">
        <f>ROUND(H97,0)</f>
        <v>1188</v>
      </c>
      <c r="I98" s="71"/>
    </row>
    <row r="99" spans="1:9" s="15" customFormat="1" x14ac:dyDescent="0.25">
      <c r="B99" s="34"/>
      <c r="C99" s="34"/>
      <c r="D99" s="34"/>
      <c r="E99" s="18"/>
      <c r="F99" s="18"/>
      <c r="G99" s="18"/>
      <c r="H99" s="19"/>
      <c r="I99" s="34"/>
    </row>
    <row r="100" spans="1:9" s="15" customFormat="1" ht="15.75" x14ac:dyDescent="0.25">
      <c r="A100" s="33" t="s">
        <v>22</v>
      </c>
      <c r="B100" s="74" t="s">
        <v>23</v>
      </c>
      <c r="C100" s="74"/>
      <c r="D100" s="74"/>
      <c r="E100" s="74" t="s">
        <v>24</v>
      </c>
      <c r="F100" s="74"/>
      <c r="G100" s="33" t="s">
        <v>25</v>
      </c>
      <c r="H100" s="74" t="s">
        <v>26</v>
      </c>
      <c r="I100" s="74"/>
    </row>
    <row r="101" spans="1:9" s="15" customFormat="1" x14ac:dyDescent="0.25">
      <c r="A101" s="2">
        <v>1</v>
      </c>
      <c r="B101" s="71" t="s">
        <v>139</v>
      </c>
      <c r="C101" s="71"/>
      <c r="D101" s="71"/>
      <c r="E101" s="72">
        <v>45940</v>
      </c>
      <c r="F101" s="71"/>
      <c r="G101" s="32">
        <v>150</v>
      </c>
      <c r="H101" s="73">
        <v>3950</v>
      </c>
      <c r="I101" s="73"/>
    </row>
    <row r="102" spans="1:9" s="15" customFormat="1" x14ac:dyDescent="0.25">
      <c r="A102" s="2">
        <v>2</v>
      </c>
      <c r="B102" s="71" t="s">
        <v>140</v>
      </c>
      <c r="C102" s="71"/>
      <c r="D102" s="71"/>
      <c r="E102" s="72">
        <v>45940</v>
      </c>
      <c r="F102" s="71"/>
      <c r="G102" s="32">
        <v>150</v>
      </c>
      <c r="H102" s="73">
        <v>995</v>
      </c>
      <c r="I102" s="73"/>
    </row>
    <row r="103" spans="1:9" s="15" customFormat="1" x14ac:dyDescent="0.25">
      <c r="A103" s="2">
        <v>3</v>
      </c>
      <c r="B103" s="71" t="s">
        <v>141</v>
      </c>
      <c r="C103" s="71"/>
      <c r="D103" s="71"/>
      <c r="E103" s="72">
        <v>45940</v>
      </c>
      <c r="F103" s="71"/>
      <c r="G103" s="32">
        <v>5</v>
      </c>
      <c r="H103" s="73">
        <v>241</v>
      </c>
      <c r="I103" s="73"/>
    </row>
    <row r="104" spans="1:9" s="15" customFormat="1" x14ac:dyDescent="0.25">
      <c r="A104" s="2"/>
      <c r="B104" s="71"/>
      <c r="C104" s="71"/>
      <c r="D104" s="71"/>
      <c r="E104" s="75" t="s">
        <v>27</v>
      </c>
      <c r="F104" s="75"/>
      <c r="G104" s="75"/>
      <c r="H104" s="73">
        <f>SUM(H101:H103)</f>
        <v>5186</v>
      </c>
      <c r="I104" s="71"/>
    </row>
    <row r="105" spans="1:9" s="15" customFormat="1" x14ac:dyDescent="0.25">
      <c r="A105" s="2"/>
      <c r="B105" s="71"/>
      <c r="C105" s="71"/>
      <c r="D105" s="71"/>
      <c r="E105" s="76" t="s">
        <v>28</v>
      </c>
      <c r="F105" s="76"/>
      <c r="G105" s="76"/>
      <c r="H105" s="73">
        <f>ROUND(H104,0)</f>
        <v>5186</v>
      </c>
      <c r="I105" s="71"/>
    </row>
    <row r="106" spans="1:9" s="15" customFormat="1" x14ac:dyDescent="0.25">
      <c r="B106" s="34"/>
      <c r="C106" s="34"/>
      <c r="D106" s="34"/>
      <c r="E106" s="18"/>
      <c r="F106" s="18"/>
      <c r="G106" s="18"/>
      <c r="H106" s="19"/>
      <c r="I106" s="34"/>
    </row>
    <row r="107" spans="1:9" s="15" customFormat="1" x14ac:dyDescent="0.25">
      <c r="B107" s="34"/>
      <c r="C107" s="34"/>
      <c r="D107" s="34"/>
      <c r="E107" s="18"/>
      <c r="F107" s="18"/>
      <c r="G107" s="18"/>
      <c r="H107" s="19"/>
      <c r="I107" s="34"/>
    </row>
    <row r="108" spans="1:9" s="15" customFormat="1" x14ac:dyDescent="0.25">
      <c r="B108" s="34"/>
      <c r="C108" s="34"/>
      <c r="D108" s="34"/>
      <c r="E108" s="18"/>
      <c r="F108" s="18"/>
      <c r="G108" s="18"/>
      <c r="H108" s="19"/>
      <c r="I108" s="34"/>
    </row>
    <row r="109" spans="1:9" s="15" customFormat="1" x14ac:dyDescent="0.25">
      <c r="B109" s="34"/>
      <c r="C109" s="34"/>
      <c r="D109" s="34"/>
      <c r="E109" s="18"/>
      <c r="F109" s="18"/>
      <c r="G109" s="18"/>
      <c r="H109" s="19"/>
      <c r="I109" s="34"/>
    </row>
    <row r="110" spans="1:9" s="15" customFormat="1" ht="15.75" thickBot="1" x14ac:dyDescent="0.3">
      <c r="B110" s="16"/>
      <c r="C110" s="16"/>
      <c r="D110" s="16"/>
      <c r="E110" s="18"/>
      <c r="F110" s="18"/>
      <c r="G110" s="18"/>
      <c r="H110" s="19"/>
      <c r="I110" s="16"/>
    </row>
    <row r="111" spans="1:9" ht="15.75" x14ac:dyDescent="0.25">
      <c r="A111" s="16"/>
      <c r="B111" s="82"/>
      <c r="C111" s="82"/>
      <c r="D111" s="82"/>
      <c r="E111" s="90" t="s">
        <v>29</v>
      </c>
      <c r="F111" s="91"/>
      <c r="G111" s="91"/>
      <c r="H111" s="92">
        <f>SUM(H11+H22+H33+H44+H55+H66+H77+H88+H98+H105)</f>
        <v>14543</v>
      </c>
      <c r="I111" s="93"/>
    </row>
    <row r="112" spans="1:9" ht="15.75" x14ac:dyDescent="0.25">
      <c r="A112" s="16"/>
      <c r="B112" s="82"/>
      <c r="C112" s="82"/>
      <c r="D112" s="82"/>
      <c r="E112" s="83" t="s">
        <v>30</v>
      </c>
      <c r="F112" s="74"/>
      <c r="G112" s="74"/>
      <c r="H112" s="84">
        <v>49900</v>
      </c>
      <c r="I112" s="85"/>
    </row>
    <row r="113" spans="1:9" ht="15.75" x14ac:dyDescent="0.25">
      <c r="A113" s="16"/>
      <c r="B113" s="82"/>
      <c r="C113" s="82"/>
      <c r="D113" s="82"/>
      <c r="E113" s="83" t="s">
        <v>31</v>
      </c>
      <c r="F113" s="74"/>
      <c r="G113" s="74"/>
      <c r="H113" s="84">
        <f>SUM(H111+H112)</f>
        <v>64443</v>
      </c>
      <c r="I113" s="85"/>
    </row>
    <row r="114" spans="1:9" ht="16.5" thickBot="1" x14ac:dyDescent="0.3">
      <c r="A114" s="16"/>
      <c r="B114" s="82"/>
      <c r="C114" s="82"/>
      <c r="D114" s="82"/>
      <c r="E114" s="86" t="s">
        <v>32</v>
      </c>
      <c r="F114" s="87"/>
      <c r="G114" s="87"/>
      <c r="H114" s="88">
        <f>H113</f>
        <v>64443</v>
      </c>
      <c r="I114" s="89"/>
    </row>
    <row r="119" spans="1:9" ht="18.75" x14ac:dyDescent="0.3">
      <c r="A119" s="80" t="s">
        <v>33</v>
      </c>
      <c r="B119" s="80"/>
      <c r="F119" s="36" t="s">
        <v>34</v>
      </c>
      <c r="H119" s="36"/>
      <c r="I119" s="36"/>
    </row>
    <row r="120" spans="1:9" ht="18.75" x14ac:dyDescent="0.3">
      <c r="A120" s="80" t="s">
        <v>35</v>
      </c>
      <c r="B120" s="80"/>
      <c r="G120" s="36" t="s">
        <v>36</v>
      </c>
      <c r="H120" s="36"/>
      <c r="I120" s="36"/>
    </row>
  </sheetData>
  <mergeCells count="303">
    <mergeCell ref="B104:D104"/>
    <mergeCell ref="E104:G104"/>
    <mergeCell ref="H104:I104"/>
    <mergeCell ref="B105:D105"/>
    <mergeCell ref="E105:G105"/>
    <mergeCell ref="H105:I105"/>
    <mergeCell ref="B103:D103"/>
    <mergeCell ref="E103:F103"/>
    <mergeCell ref="H103:I103"/>
    <mergeCell ref="B100:D100"/>
    <mergeCell ref="E100:F100"/>
    <mergeCell ref="H100:I100"/>
    <mergeCell ref="B101:D101"/>
    <mergeCell ref="E101:F101"/>
    <mergeCell ref="H101:I101"/>
    <mergeCell ref="B102:D102"/>
    <mergeCell ref="E102:F102"/>
    <mergeCell ref="H102:I102"/>
    <mergeCell ref="B97:D97"/>
    <mergeCell ref="E97:G97"/>
    <mergeCell ref="H97:I97"/>
    <mergeCell ref="B98:D98"/>
    <mergeCell ref="E98:G98"/>
    <mergeCell ref="H98:I98"/>
    <mergeCell ref="B96:D96"/>
    <mergeCell ref="E96:F96"/>
    <mergeCell ref="H96:I96"/>
    <mergeCell ref="B93:D93"/>
    <mergeCell ref="E93:F93"/>
    <mergeCell ref="H93:I93"/>
    <mergeCell ref="B94:D94"/>
    <mergeCell ref="E94:F94"/>
    <mergeCell ref="H94:I94"/>
    <mergeCell ref="B95:D95"/>
    <mergeCell ref="E95:F95"/>
    <mergeCell ref="H95:I95"/>
    <mergeCell ref="B90:D90"/>
    <mergeCell ref="E90:F90"/>
    <mergeCell ref="H90:I90"/>
    <mergeCell ref="B91:D91"/>
    <mergeCell ref="E91:F91"/>
    <mergeCell ref="H91:I91"/>
    <mergeCell ref="B92:D92"/>
    <mergeCell ref="E92:F92"/>
    <mergeCell ref="H92:I92"/>
    <mergeCell ref="E84:F84"/>
    <mergeCell ref="E85:F85"/>
    <mergeCell ref="E86:F86"/>
    <mergeCell ref="B87:D87"/>
    <mergeCell ref="E87:G87"/>
    <mergeCell ref="H87:I87"/>
    <mergeCell ref="B86:D86"/>
    <mergeCell ref="H86:I86"/>
    <mergeCell ref="B84:D84"/>
    <mergeCell ref="H84:I84"/>
    <mergeCell ref="B85:D85"/>
    <mergeCell ref="H85:I85"/>
    <mergeCell ref="B82:D82"/>
    <mergeCell ref="E82:F82"/>
    <mergeCell ref="H82:I82"/>
    <mergeCell ref="B83:D83"/>
    <mergeCell ref="E83:F83"/>
    <mergeCell ref="H83:I83"/>
    <mergeCell ref="B80:D80"/>
    <mergeCell ref="E80:F80"/>
    <mergeCell ref="H80:I80"/>
    <mergeCell ref="B81:D81"/>
    <mergeCell ref="E81:F81"/>
    <mergeCell ref="H81:I81"/>
    <mergeCell ref="B77:D77"/>
    <mergeCell ref="E77:G77"/>
    <mergeCell ref="H77:I77"/>
    <mergeCell ref="B79:D79"/>
    <mergeCell ref="E79:F79"/>
    <mergeCell ref="H79:I79"/>
    <mergeCell ref="B76:D76"/>
    <mergeCell ref="E76:G76"/>
    <mergeCell ref="H76:I76"/>
    <mergeCell ref="B75:D75"/>
    <mergeCell ref="E75:F75"/>
    <mergeCell ref="H75:I75"/>
    <mergeCell ref="B73:D73"/>
    <mergeCell ref="E73:F73"/>
    <mergeCell ref="H73:I73"/>
    <mergeCell ref="B74:D74"/>
    <mergeCell ref="E74:F74"/>
    <mergeCell ref="H74:I74"/>
    <mergeCell ref="B71:D71"/>
    <mergeCell ref="E71:F71"/>
    <mergeCell ref="H71:I71"/>
    <mergeCell ref="B72:D72"/>
    <mergeCell ref="E72:F72"/>
    <mergeCell ref="H72:I72"/>
    <mergeCell ref="B65:D65"/>
    <mergeCell ref="E65:G65"/>
    <mergeCell ref="H65:I65"/>
    <mergeCell ref="B66:D66"/>
    <mergeCell ref="E66:G66"/>
    <mergeCell ref="H66:I66"/>
    <mergeCell ref="B69:D69"/>
    <mergeCell ref="E69:F69"/>
    <mergeCell ref="H69:I69"/>
    <mergeCell ref="B70:D70"/>
    <mergeCell ref="E70:F70"/>
    <mergeCell ref="H70:I70"/>
    <mergeCell ref="B68:D68"/>
    <mergeCell ref="E68:F68"/>
    <mergeCell ref="H68:I68"/>
    <mergeCell ref="B63:D63"/>
    <mergeCell ref="E63:F63"/>
    <mergeCell ref="H63:I63"/>
    <mergeCell ref="B64:D64"/>
    <mergeCell ref="E64:F64"/>
    <mergeCell ref="H64:I64"/>
    <mergeCell ref="B61:D61"/>
    <mergeCell ref="E61:F61"/>
    <mergeCell ref="H61:I61"/>
    <mergeCell ref="B62:D62"/>
    <mergeCell ref="E62:F62"/>
    <mergeCell ref="H62:I62"/>
    <mergeCell ref="B59:D59"/>
    <mergeCell ref="E59:F59"/>
    <mergeCell ref="H59:I59"/>
    <mergeCell ref="B60:D60"/>
    <mergeCell ref="E60:F60"/>
    <mergeCell ref="H60:I60"/>
    <mergeCell ref="B57:D57"/>
    <mergeCell ref="E57:F57"/>
    <mergeCell ref="H57:I57"/>
    <mergeCell ref="B58:D58"/>
    <mergeCell ref="E58:F58"/>
    <mergeCell ref="H58:I58"/>
    <mergeCell ref="B54:D54"/>
    <mergeCell ref="E54:G54"/>
    <mergeCell ref="H54:I54"/>
    <mergeCell ref="B55:D55"/>
    <mergeCell ref="E55:G55"/>
    <mergeCell ref="H55:I55"/>
    <mergeCell ref="B52:D52"/>
    <mergeCell ref="E52:F52"/>
    <mergeCell ref="H52:I52"/>
    <mergeCell ref="B53:D53"/>
    <mergeCell ref="E53:F53"/>
    <mergeCell ref="H53:I53"/>
    <mergeCell ref="B51:D51"/>
    <mergeCell ref="E51:F51"/>
    <mergeCell ref="H51:I51"/>
    <mergeCell ref="H47:I47"/>
    <mergeCell ref="B48:D48"/>
    <mergeCell ref="E48:F48"/>
    <mergeCell ref="H48:I48"/>
    <mergeCell ref="B49:D49"/>
    <mergeCell ref="E49:F49"/>
    <mergeCell ref="H49:I49"/>
    <mergeCell ref="E50:F50"/>
    <mergeCell ref="H44:I44"/>
    <mergeCell ref="B50:D50"/>
    <mergeCell ref="H50:I50"/>
    <mergeCell ref="B41:D41"/>
    <mergeCell ref="E41:F41"/>
    <mergeCell ref="H41:I41"/>
    <mergeCell ref="B42:D42"/>
    <mergeCell ref="E42:F42"/>
    <mergeCell ref="H42:I42"/>
    <mergeCell ref="B47:D47"/>
    <mergeCell ref="E47:F47"/>
    <mergeCell ref="B43:D43"/>
    <mergeCell ref="E43:G43"/>
    <mergeCell ref="H43:I43"/>
    <mergeCell ref="E46:F46"/>
    <mergeCell ref="B39:D39"/>
    <mergeCell ref="E39:F39"/>
    <mergeCell ref="H39:I39"/>
    <mergeCell ref="B40:D40"/>
    <mergeCell ref="E40:F40"/>
    <mergeCell ref="H40:I40"/>
    <mergeCell ref="B37:D37"/>
    <mergeCell ref="H28:I28"/>
    <mergeCell ref="H29:I29"/>
    <mergeCell ref="H30:I30"/>
    <mergeCell ref="H31:I31"/>
    <mergeCell ref="E37:F37"/>
    <mergeCell ref="E38:F38"/>
    <mergeCell ref="B31:D31"/>
    <mergeCell ref="H37:I37"/>
    <mergeCell ref="B38:D38"/>
    <mergeCell ref="H38:I38"/>
    <mergeCell ref="A34:I34"/>
    <mergeCell ref="B35:D35"/>
    <mergeCell ref="E35:F35"/>
    <mergeCell ref="H35:I35"/>
    <mergeCell ref="B36:D36"/>
    <mergeCell ref="E36:F36"/>
    <mergeCell ref="H36:I36"/>
    <mergeCell ref="H17:I17"/>
    <mergeCell ref="B18:D18"/>
    <mergeCell ref="E18:F18"/>
    <mergeCell ref="H18:I18"/>
    <mergeCell ref="B15:D15"/>
    <mergeCell ref="E15:F15"/>
    <mergeCell ref="H15:I15"/>
    <mergeCell ref="B16:D16"/>
    <mergeCell ref="E16:F16"/>
    <mergeCell ref="H16:I16"/>
    <mergeCell ref="A119:B119"/>
    <mergeCell ref="A120:B120"/>
    <mergeCell ref="A1:I1"/>
    <mergeCell ref="B113:D113"/>
    <mergeCell ref="E113:G113"/>
    <mergeCell ref="H113:I113"/>
    <mergeCell ref="B114:D114"/>
    <mergeCell ref="E114:G114"/>
    <mergeCell ref="H114:I114"/>
    <mergeCell ref="B111:D111"/>
    <mergeCell ref="E111:G111"/>
    <mergeCell ref="H111:I111"/>
    <mergeCell ref="B112:D112"/>
    <mergeCell ref="E112:G112"/>
    <mergeCell ref="H112:I112"/>
    <mergeCell ref="B44:D44"/>
    <mergeCell ref="E44:G44"/>
    <mergeCell ref="B88:D88"/>
    <mergeCell ref="E88:G88"/>
    <mergeCell ref="H88:I88"/>
    <mergeCell ref="B46:D46"/>
    <mergeCell ref="H46:I46"/>
    <mergeCell ref="B17:D17"/>
    <mergeCell ref="E17:F17"/>
    <mergeCell ref="B32:D32"/>
    <mergeCell ref="E32:G32"/>
    <mergeCell ref="H32:I32"/>
    <mergeCell ref="B33:D33"/>
    <mergeCell ref="E33:G33"/>
    <mergeCell ref="H33:I33"/>
    <mergeCell ref="B27:D27"/>
    <mergeCell ref="E27:F27"/>
    <mergeCell ref="H27:I27"/>
    <mergeCell ref="B28:D28"/>
    <mergeCell ref="B29:D29"/>
    <mergeCell ref="B30:D30"/>
    <mergeCell ref="E28:F28"/>
    <mergeCell ref="E29:F29"/>
    <mergeCell ref="E30:F30"/>
    <mergeCell ref="E31:F31"/>
    <mergeCell ref="B25:D25"/>
    <mergeCell ref="E25:F25"/>
    <mergeCell ref="H25:I25"/>
    <mergeCell ref="B26:D26"/>
    <mergeCell ref="E26:F26"/>
    <mergeCell ref="H26:I26"/>
    <mergeCell ref="B22:D22"/>
    <mergeCell ref="E22:G22"/>
    <mergeCell ref="H22:I22"/>
    <mergeCell ref="A23:I23"/>
    <mergeCell ref="B24:D24"/>
    <mergeCell ref="E24:F24"/>
    <mergeCell ref="H24:I24"/>
    <mergeCell ref="B21:D21"/>
    <mergeCell ref="E21:G21"/>
    <mergeCell ref="H21:I21"/>
    <mergeCell ref="B19:D19"/>
    <mergeCell ref="E19:F19"/>
    <mergeCell ref="H19:I19"/>
    <mergeCell ref="B20:D20"/>
    <mergeCell ref="E20:F20"/>
    <mergeCell ref="H20:I20"/>
    <mergeCell ref="E13:F13"/>
    <mergeCell ref="H13:I13"/>
    <mergeCell ref="B14:D14"/>
    <mergeCell ref="E14:F14"/>
    <mergeCell ref="H14:I14"/>
    <mergeCell ref="B10:D10"/>
    <mergeCell ref="E10:G10"/>
    <mergeCell ref="H10:I10"/>
    <mergeCell ref="B11:D11"/>
    <mergeCell ref="E11:G11"/>
    <mergeCell ref="H11:I11"/>
    <mergeCell ref="A12:I12"/>
    <mergeCell ref="B13:D13"/>
    <mergeCell ref="B8:D8"/>
    <mergeCell ref="E8:F8"/>
    <mergeCell ref="H8:I8"/>
    <mergeCell ref="B9:D9"/>
    <mergeCell ref="E9:F9"/>
    <mergeCell ref="H9:I9"/>
    <mergeCell ref="B6:D6"/>
    <mergeCell ref="E6:F6"/>
    <mergeCell ref="H6:I6"/>
    <mergeCell ref="B7:D7"/>
    <mergeCell ref="E7:F7"/>
    <mergeCell ref="H7:I7"/>
    <mergeCell ref="B4:D4"/>
    <mergeCell ref="E4:F4"/>
    <mergeCell ref="H4:I4"/>
    <mergeCell ref="B5:D5"/>
    <mergeCell ref="E5:F5"/>
    <mergeCell ref="H5:I5"/>
    <mergeCell ref="B2:D2"/>
    <mergeCell ref="E2:F2"/>
    <mergeCell ref="H2:I2"/>
    <mergeCell ref="B3:D3"/>
    <mergeCell ref="E3:F3"/>
    <mergeCell ref="H3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FORM D</vt:lpstr>
      <vt:lpstr>Sheet2</vt:lpstr>
      <vt:lpstr>MEDICINE</vt:lpstr>
      <vt:lpstr>'FORM D'!Print_Area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2025-12-04T07:54:41Z</cp:lastPrinted>
  <dcterms:created xsi:type="dcterms:W3CDTF">2024-10-09T09:39:05Z</dcterms:created>
  <dcterms:modified xsi:type="dcterms:W3CDTF">2025-12-15T11:46:12Z</dcterms:modified>
</cp:coreProperties>
</file>